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Drives" sheetId="2" state="visible" r:id="rId4"/>
    <sheet name="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<sst xmlns="http://schemas.openxmlformats.org/spreadsheetml/2006/main" count="76" uniqueCount="64">
  <si>
    <t xml:space="preserve">UDR Tagging — Execution Scheduler</t>
  </si>
  <si>
    <t xml:space="preserve">Prioritisation Mode</t>
  </si>
  <si>
    <t xml:space="preserve">Volume</t>
  </si>
  <si>
    <t xml:space="preserve">← choose Location or Volume</t>
  </si>
  <si>
    <t xml:space="preserve">Number of Parallel Servers</t>
  </si>
  <si>
    <t xml:space="preserve">← supports up to 6 in this template (see Schedule sheet cols I:N)</t>
  </si>
  <si>
    <t xml:space="preserve">Schedule Start</t>
  </si>
  <si>
    <t xml:space="preserve">← when the first server becomes available</t>
  </si>
  <si>
    <t xml:space="preserve">How this works</t>
  </si>
  <si>
    <t xml:space="preserve">1. Enter every drive on the 'Drives' sheet: Location, LocationRank (1 = highest priority location), VolumeTB (leave blank if not yet known) and ForecastHrs.</t>
  </si>
  <si>
    <t xml:space="preserve">2. Set Mode above to 'Location' (fixed priority order = LocationRank) or 'Volume' (largest VolumeTB first). Drives with an unknown volume are always scheduled last, ordered by LocationRank as a tiebreak.</t>
  </si>
  <si>
    <t xml:space="preserve">3. The 'Schedule' sheet automatically re-ranks the drives (Drives!Rank), then simulates N identical servers: each drive is assigned to whichever server becomes free soonest — this is the standard greedy list-scheduling rule for parallel identical machines.</t>
  </si>
  <si>
    <t xml:space="preserve">4. As you fill in more VolumeTB values, or change Mode, or change the server count, the whole schedule re-sequences and re-times itself — nothing needs to be re-typed or manually re-sorted.</t>
  </si>
  <si>
    <t xml:space="preserve">5. Yellow cells are the only cells you should edit. Everything else is a formula.</t>
  </si>
  <si>
    <t xml:space="preserve">6. If a server is already running a job, set its 'Available From' time below to when that job will finish — the schedule will not assign it a new drive until then. Idle servers can be left at the default (Schedule Start).</t>
  </si>
  <si>
    <t xml:space="preserve">Per-Server Availability</t>
  </si>
  <si>
    <t xml:space="preserve">Server</t>
  </si>
  <si>
    <t xml:space="preserve">Available From</t>
  </si>
  <si>
    <t xml:space="preserve">← for a server currently mid-job, enter when it will finish; otherwise leave as Schedule Start</t>
  </si>
  <si>
    <t xml:space="preserve">Server 1</t>
  </si>
  <si>
    <t xml:space="preserve">Server 2</t>
  </si>
  <si>
    <t xml:space="preserve">Server 3</t>
  </si>
  <si>
    <t xml:space="preserve">Server 4</t>
  </si>
  <si>
    <t xml:space="preserve">Server 5</t>
  </si>
  <si>
    <t xml:space="preserve">Server 6</t>
  </si>
  <si>
    <t xml:space="preserve">DriveID</t>
  </si>
  <si>
    <t xml:space="preserve">Location</t>
  </si>
  <si>
    <t xml:space="preserve">LocationRank</t>
  </si>
  <si>
    <t xml:space="preserve">VolumeTB</t>
  </si>
  <si>
    <t xml:space="preserve">ForecastHrs</t>
  </si>
  <si>
    <t xml:space="preserve">SortKey</t>
  </si>
  <si>
    <t xml:space="preserve">SortKeyUnique</t>
  </si>
  <si>
    <t xml:space="preserve">Rank</t>
  </si>
  <si>
    <t xml:space="preserve">D001</t>
  </si>
  <si>
    <t xml:space="preserve">London</t>
  </si>
  <si>
    <t xml:space="preserve">D002</t>
  </si>
  <si>
    <t xml:space="preserve">D003</t>
  </si>
  <si>
    <t xml:space="preserve">D004</t>
  </si>
  <si>
    <t xml:space="preserve">Manchester</t>
  </si>
  <si>
    <t xml:space="preserve">D005</t>
  </si>
  <si>
    <t xml:space="preserve">D006</t>
  </si>
  <si>
    <t xml:space="preserve">D007</t>
  </si>
  <si>
    <t xml:space="preserve">Leeds</t>
  </si>
  <si>
    <t xml:space="preserve">D008</t>
  </si>
  <si>
    <t xml:space="preserve">D009</t>
  </si>
  <si>
    <t xml:space="preserve">D010</t>
  </si>
  <si>
    <t xml:space="preserve">Bristol</t>
  </si>
  <si>
    <t xml:space="preserve">D011</t>
  </si>
  <si>
    <t xml:space="preserve">D012</t>
  </si>
  <si>
    <t xml:space="preserve">Add more drives by continuing the rows above — formulas in F:H will need to be filled down to match, and the Schedule sheet's $H$2:$H$last range extended.</t>
  </si>
  <si>
    <t xml:space="preserve">Execution Schedule (auto-ranked, auto-timed)</t>
  </si>
  <si>
    <t xml:space="preserve">OrderNo</t>
  </si>
  <si>
    <t xml:space="preserve">AssignedServer</t>
  </si>
  <si>
    <t xml:space="preserve">StartTime</t>
  </si>
  <si>
    <t xml:space="preserve">EndTime</t>
  </si>
  <si>
    <t xml:space="preserve">Server1</t>
  </si>
  <si>
    <t xml:space="preserve">Server2</t>
  </si>
  <si>
    <t xml:space="preserve">Server3</t>
  </si>
  <si>
    <t xml:space="preserve">Server4</t>
  </si>
  <si>
    <t xml:space="preserve">Server5</t>
  </si>
  <si>
    <t xml:space="preserve">Server6</t>
  </si>
  <si>
    <t xml:space="preserve">(start state)</t>
  </si>
  <si>
    <t xml:space="preserve">Drives scheduled</t>
  </si>
  <si>
    <t xml:space="preserve">Estimated completion (makespan)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</si>
</sst>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\ hh:mm"/>
    <numFmt numFmtId="166" formatCode="0.0;;&quot;unknown&quot;"/>
    <numFmt numFmtId="167" formatCode="0.0000000"/>
    <numFmt numFmtId="168" formatCode="General"/>
    <numFmt numFmtId="169" formatCode="dd/mm\ 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  <c r="C3" s="4" t="s">
        <v>3</v>
      </c>
    </row>
    <row r="4" customFormat="false" ht="15" hidden="false" customHeight="false" outlineLevel="0" collapsed="false">
      <c r="A4" s="2" t="s">
        <v>4</v>
      </c>
      <c r="B4" s="3" t="n">
        <v>3</v>
      </c>
      <c r="C4" s="4" t="s">
        <v>5</v>
      </c>
    </row>
    <row r="5" customFormat="false" ht="15" hidden="false" customHeight="false" outlineLevel="0" collapsed="false">
      <c r="A5" s="2" t="s">
        <v>6</v>
      </c>
      <c r="B5" s="5" t="n">
        <v>46230.3333333333</v>
      </c>
      <c r="C5" s="4" t="s">
        <v>7</v>
      </c>
    </row>
    <row r="7" customFormat="false" ht="15" hidden="false" customHeight="false" outlineLevel="0" collapsed="false">
      <c r="A7" s="6" t="s">
        <v>8</v>
      </c>
    </row>
    <row r="8" customFormat="false" ht="27.75" hidden="false" customHeight="true" outlineLevel="0" collapsed="false">
      <c r="A8" s="7" t="s">
        <v>9</v>
      </c>
      <c r="B8" s="7"/>
      <c r="C8" s="7"/>
      <c r="D8" s="7"/>
      <c r="E8" s="7"/>
      <c r="F8" s="7"/>
      <c r="G8" s="7"/>
      <c r="H8" s="7"/>
    </row>
    <row r="9" customFormat="false" ht="27.75" hidden="false" customHeight="true" outlineLevel="0" collapsed="false">
      <c r="A9" s="7" t="s">
        <v>10</v>
      </c>
      <c r="B9" s="7"/>
      <c r="C9" s="7"/>
      <c r="D9" s="7"/>
      <c r="E9" s="7"/>
      <c r="F9" s="7"/>
      <c r="G9" s="7"/>
      <c r="H9" s="7"/>
    </row>
    <row r="10" customFormat="false" ht="27.75" hidden="false" customHeight="true" outlineLevel="0" collapsed="false">
      <c r="A10" s="7" t="s">
        <v>11</v>
      </c>
      <c r="B10" s="7"/>
      <c r="C10" s="7"/>
      <c r="D10" s="7"/>
      <c r="E10" s="7"/>
      <c r="F10" s="7"/>
      <c r="G10" s="7"/>
      <c r="H10" s="7"/>
    </row>
    <row r="11" customFormat="false" ht="27.75" hidden="false" customHeight="true" outlineLevel="0" collapsed="false">
      <c r="A11" s="7" t="s">
        <v>12</v>
      </c>
      <c r="B11" s="7"/>
      <c r="C11" s="7"/>
      <c r="D11" s="7"/>
      <c r="E11" s="7"/>
      <c r="F11" s="7"/>
      <c r="G11" s="7"/>
      <c r="H11" s="7"/>
    </row>
    <row r="12" customFormat="false" ht="27.75" hidden="false" customHeight="true" outlineLevel="0" collapsed="false">
      <c r="A12" s="7" t="s">
        <v>13</v>
      </c>
      <c r="B12" s="7"/>
      <c r="C12" s="7"/>
      <c r="D12" s="7"/>
      <c r="E12" s="7"/>
      <c r="F12" s="7"/>
      <c r="G12" s="7"/>
      <c r="H12" s="7"/>
    </row>
    <row r="13" customFormat="false" ht="27.75" hidden="false" customHeight="true" outlineLevel="0" collapsed="false">
      <c r="A13" s="7" t="s">
        <v>14</v>
      </c>
      <c r="B13" s="7"/>
      <c r="C13" s="7"/>
      <c r="D13" s="7"/>
      <c r="E13" s="7"/>
      <c r="F13" s="7"/>
      <c r="G13" s="7"/>
      <c r="H13" s="7"/>
    </row>
    <row r="15" customFormat="false" ht="15" hidden="false" customHeight="false" outlineLevel="0" collapsed="false">
      <c r="A15" s="6" t="s">
        <v>15</v>
      </c>
    </row>
    <row r="16" customFormat="false" ht="15" hidden="false" customHeight="false" outlineLevel="0" collapsed="false">
      <c r="A16" s="8" t="s">
        <v>16</v>
      </c>
      <c r="B16" s="8" t="s">
        <v>17</v>
      </c>
      <c r="C16" s="4" t="s">
        <v>18</v>
      </c>
    </row>
    <row r="17" customFormat="false" ht="15" hidden="false" customHeight="false" outlineLevel="0" collapsed="false">
      <c r="A17" s="9" t="s">
        <v>19</v>
      </c>
      <c r="B17" s="10" t="n">
        <f aca="false">$B$5</f>
        <v>46230.3333333333</v>
      </c>
    </row>
    <row r="18" customFormat="false" ht="15" hidden="false" customHeight="false" outlineLevel="0" collapsed="false">
      <c r="A18" s="9" t="s">
        <v>20</v>
      </c>
      <c r="B18" s="10" t="n">
        <f aca="false">$B$5</f>
        <v>46230.3333333333</v>
      </c>
    </row>
    <row r="19" customFormat="false" ht="15" hidden="false" customHeight="false" outlineLevel="0" collapsed="false">
      <c r="A19" s="9" t="s">
        <v>21</v>
      </c>
      <c r="B19" s="10" t="n">
        <f aca="false">$B$5</f>
        <v>46230.3333333333</v>
      </c>
    </row>
    <row r="20" customFormat="false" ht="15" hidden="false" customHeight="false" outlineLevel="0" collapsed="false">
      <c r="A20" s="9" t="s">
        <v>22</v>
      </c>
      <c r="B20" s="10" t="n">
        <f aca="false">$B$5</f>
        <v>46230.3333333333</v>
      </c>
    </row>
    <row r="21" customFormat="false" ht="15" hidden="false" customHeight="false" outlineLevel="0" collapsed="false">
      <c r="A21" s="9" t="s">
        <v>23</v>
      </c>
      <c r="B21" s="10" t="n">
        <f aca="false">$B$5</f>
        <v>46230.3333333333</v>
      </c>
    </row>
    <row r="22" customFormat="false" ht="15" hidden="false" customHeight="false" outlineLevel="0" collapsed="false">
      <c r="A22" s="9" t="s">
        <v>24</v>
      </c>
      <c r="B22" s="10" t="n">
        <f aca="false">$B$5</f>
        <v>46230.3333333333</v>
      </c>
    </row>
  </sheetData>
  <mergeCells count="7">
    <mergeCell ref="A1:D1"/>
    <mergeCell ref="A8:H8"/>
    <mergeCell ref="A9:H9"/>
    <mergeCell ref="A10:H10"/>
    <mergeCell ref="A11:H11"/>
    <mergeCell ref="A12:H12"/>
    <mergeCell ref="A13:H13"/>
  </mergeCells>
  <dataValidations count="1">
    <dataValidation allowBlank="false" errorStyle="stop" operator="between" showDropDown="false" showErrorMessage="false" showInputMessage="false" sqref="B3" type="list">
      <formula1>"Location,Volume"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3.85" hidden="false" customHeight="fals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</row>
    <row r="2" customFormat="false" ht="15" hidden="false" customHeight="false" outlineLevel="0" collapsed="false">
      <c r="A2" s="11" t="s">
        <v>33</v>
      </c>
      <c r="B2" s="11" t="s">
        <v>34</v>
      </c>
      <c r="C2" s="11" t="n">
        <v>1</v>
      </c>
      <c r="D2" s="12" t="n">
        <v>12.5</v>
      </c>
      <c r="E2" s="11" t="n">
        <v>6</v>
      </c>
      <c r="F2" s="13" t="n">
        <f aca="false">IF(Setup!$B$3="Volume",IF(D2="",-1,D2),-C2)</f>
        <v>12.5</v>
      </c>
      <c r="G2" s="13" t="n">
        <f aca="false">F2-(C2*0.0000001)-(ROW()*0.00000000001)</f>
        <v>12.49999989998</v>
      </c>
      <c r="H2" s="14" t="n">
        <f aca="false">RANK(G2,$G$2:$G$13,0)</f>
        <v>5</v>
      </c>
    </row>
    <row r="3" customFormat="false" ht="15" hidden="false" customHeight="false" outlineLevel="0" collapsed="false">
      <c r="A3" s="11" t="s">
        <v>35</v>
      </c>
      <c r="B3" s="11" t="s">
        <v>34</v>
      </c>
      <c r="C3" s="11" t="n">
        <v>1</v>
      </c>
      <c r="D3" s="12"/>
      <c r="E3" s="11" t="n">
        <v>8</v>
      </c>
      <c r="F3" s="13" t="n">
        <f aca="false">IF(Setup!$B$3="Volume",IF(D3="",-1,D3),-C3)</f>
        <v>-1</v>
      </c>
      <c r="G3" s="13" t="n">
        <f aca="false">F3-(C3*0.0000001)-(ROW()*0.00000000001)</f>
        <v>-1.00000010003</v>
      </c>
      <c r="H3" s="14" t="n">
        <f aca="false">RANK(G3,$G$2:$G$13,0)</f>
        <v>8</v>
      </c>
    </row>
    <row r="4" customFormat="false" ht="15" hidden="false" customHeight="false" outlineLevel="0" collapsed="false">
      <c r="A4" s="11" t="s">
        <v>36</v>
      </c>
      <c r="B4" s="11" t="s">
        <v>34</v>
      </c>
      <c r="C4" s="11" t="n">
        <v>1</v>
      </c>
      <c r="D4" s="12" t="n">
        <v>4.2</v>
      </c>
      <c r="E4" s="11" t="n">
        <v>3</v>
      </c>
      <c r="F4" s="13" t="n">
        <f aca="false">IF(Setup!$B$3="Volume",IF(D4="",-1,D4),-C4)</f>
        <v>4.2</v>
      </c>
      <c r="G4" s="13" t="n">
        <f aca="false">F4-(C4*0.0000001)-(ROW()*0.00000000001)</f>
        <v>4.19999989996</v>
      </c>
      <c r="H4" s="14" t="n">
        <f aca="false">RANK(G4,$G$2:$G$13,0)</f>
        <v>6</v>
      </c>
    </row>
    <row r="5" customFormat="false" ht="15" hidden="false" customHeight="false" outlineLevel="0" collapsed="false">
      <c r="A5" s="11" t="s">
        <v>37</v>
      </c>
      <c r="B5" s="11" t="s">
        <v>38</v>
      </c>
      <c r="C5" s="11" t="n">
        <v>2</v>
      </c>
      <c r="D5" s="12" t="n">
        <v>30</v>
      </c>
      <c r="E5" s="11" t="n">
        <v>14</v>
      </c>
      <c r="F5" s="13" t="n">
        <f aca="false">IF(Setup!$B$3="Volume",IF(D5="",-1,D5),-C5)</f>
        <v>30</v>
      </c>
      <c r="G5" s="13" t="n">
        <f aca="false">F5-(C5*0.0000001)-(ROW()*0.00000000001)</f>
        <v>29.99999979995</v>
      </c>
      <c r="H5" s="14" t="n">
        <f aca="false">RANK(G5,$G$2:$G$13,0)</f>
        <v>2</v>
      </c>
    </row>
    <row r="6" customFormat="false" ht="15" hidden="false" customHeight="false" outlineLevel="0" collapsed="false">
      <c r="A6" s="11" t="s">
        <v>39</v>
      </c>
      <c r="B6" s="11" t="s">
        <v>38</v>
      </c>
      <c r="C6" s="11" t="n">
        <v>2</v>
      </c>
      <c r="D6" s="12"/>
      <c r="E6" s="11" t="n">
        <v>10</v>
      </c>
      <c r="F6" s="13" t="n">
        <f aca="false">IF(Setup!$B$3="Volume",IF(D6="",-1,D6),-C6)</f>
        <v>-1</v>
      </c>
      <c r="G6" s="13" t="n">
        <f aca="false">F6-(C6*0.0000001)-(ROW()*0.00000000001)</f>
        <v>-1.00000020006</v>
      </c>
      <c r="H6" s="14" t="n">
        <f aca="false">RANK(G6,$G$2:$G$13,0)</f>
        <v>9</v>
      </c>
    </row>
    <row r="7" customFormat="false" ht="15" hidden="false" customHeight="false" outlineLevel="0" collapsed="false">
      <c r="A7" s="11" t="s">
        <v>40</v>
      </c>
      <c r="B7" s="11" t="s">
        <v>38</v>
      </c>
      <c r="C7" s="11" t="n">
        <v>2</v>
      </c>
      <c r="D7" s="12" t="n">
        <v>18.6</v>
      </c>
      <c r="E7" s="11" t="n">
        <v>9</v>
      </c>
      <c r="F7" s="13" t="n">
        <f aca="false">IF(Setup!$B$3="Volume",IF(D7="",-1,D7),-C7)</f>
        <v>18.6</v>
      </c>
      <c r="G7" s="13" t="n">
        <f aca="false">F7-(C7*0.0000001)-(ROW()*0.00000000001)</f>
        <v>18.59999979993</v>
      </c>
      <c r="H7" s="14" t="n">
        <f aca="false">RANK(G7,$G$2:$G$13,0)</f>
        <v>4</v>
      </c>
    </row>
    <row r="8" customFormat="false" ht="15" hidden="false" customHeight="false" outlineLevel="0" collapsed="false">
      <c r="A8" s="11" t="s">
        <v>41</v>
      </c>
      <c r="B8" s="11" t="s">
        <v>42</v>
      </c>
      <c r="C8" s="11" t="n">
        <v>3</v>
      </c>
      <c r="D8" s="12"/>
      <c r="E8" s="11" t="n">
        <v>5</v>
      </c>
      <c r="F8" s="13" t="n">
        <f aca="false">IF(Setup!$B$3="Volume",IF(D8="",-1,D8),-C8)</f>
        <v>-1</v>
      </c>
      <c r="G8" s="13" t="n">
        <f aca="false">F8-(C8*0.0000001)-(ROW()*0.00000000001)</f>
        <v>-1.00000030008</v>
      </c>
      <c r="H8" s="14" t="n">
        <f aca="false">RANK(G8,$G$2:$G$13,0)</f>
        <v>10</v>
      </c>
    </row>
    <row r="9" customFormat="false" ht="15" hidden="false" customHeight="false" outlineLevel="0" collapsed="false">
      <c r="A9" s="11" t="s">
        <v>43</v>
      </c>
      <c r="B9" s="11" t="s">
        <v>42</v>
      </c>
      <c r="C9" s="11" t="n">
        <v>3</v>
      </c>
      <c r="D9" s="12" t="n">
        <v>22.1</v>
      </c>
      <c r="E9" s="11" t="n">
        <v>11</v>
      </c>
      <c r="F9" s="13" t="n">
        <f aca="false">IF(Setup!$B$3="Volume",IF(D9="",-1,D9),-C9)</f>
        <v>22.1</v>
      </c>
      <c r="G9" s="13" t="n">
        <f aca="false">F9-(C9*0.0000001)-(ROW()*0.00000000001)</f>
        <v>22.09999969991</v>
      </c>
      <c r="H9" s="14" t="n">
        <f aca="false">RANK(G9,$G$2:$G$13,0)</f>
        <v>3</v>
      </c>
    </row>
    <row r="10" customFormat="false" ht="15" hidden="false" customHeight="false" outlineLevel="0" collapsed="false">
      <c r="A10" s="11" t="s">
        <v>44</v>
      </c>
      <c r="B10" s="11" t="s">
        <v>42</v>
      </c>
      <c r="C10" s="11" t="n">
        <v>3</v>
      </c>
      <c r="D10" s="12"/>
      <c r="E10" s="11" t="n">
        <v>7</v>
      </c>
      <c r="F10" s="13" t="n">
        <f aca="false">IF(Setup!$B$3="Volume",IF(D10="",-1,D10),-C10)</f>
        <v>-1</v>
      </c>
      <c r="G10" s="13" t="n">
        <f aca="false">F10-(C10*0.0000001)-(ROW()*0.00000000001)</f>
        <v>-1.0000003001</v>
      </c>
      <c r="H10" s="14" t="n">
        <f aca="false">RANK(G10,$G$2:$G$13,0)</f>
        <v>11</v>
      </c>
    </row>
    <row r="11" customFormat="false" ht="15" hidden="false" customHeight="false" outlineLevel="0" collapsed="false">
      <c r="A11" s="11" t="s">
        <v>45</v>
      </c>
      <c r="B11" s="11" t="s">
        <v>46</v>
      </c>
      <c r="C11" s="11" t="n">
        <v>4</v>
      </c>
      <c r="D11" s="12" t="n">
        <v>45.3</v>
      </c>
      <c r="E11" s="11" t="n">
        <v>20</v>
      </c>
      <c r="F11" s="13" t="n">
        <f aca="false">IF(Setup!$B$3="Volume",IF(D11="",-1,D11),-C11)</f>
        <v>45.3</v>
      </c>
      <c r="G11" s="13" t="n">
        <f aca="false">F11-(C11*0.0000001)-(ROW()*0.00000000001)</f>
        <v>45.29999959989</v>
      </c>
      <c r="H11" s="14" t="n">
        <f aca="false">RANK(G11,$G$2:$G$13,0)</f>
        <v>1</v>
      </c>
    </row>
    <row r="12" customFormat="false" ht="15" hidden="false" customHeight="false" outlineLevel="0" collapsed="false">
      <c r="A12" s="11" t="s">
        <v>47</v>
      </c>
      <c r="B12" s="11" t="s">
        <v>46</v>
      </c>
      <c r="C12" s="11" t="n">
        <v>4</v>
      </c>
      <c r="D12" s="12" t="n">
        <v>3.1</v>
      </c>
      <c r="E12" s="11" t="n">
        <v>2</v>
      </c>
      <c r="F12" s="13" t="n">
        <f aca="false">IF(Setup!$B$3="Volume",IF(D12="",-1,D12),-C12)</f>
        <v>3.1</v>
      </c>
      <c r="G12" s="13" t="n">
        <f aca="false">F12-(C12*0.0000001)-(ROW()*0.00000000001)</f>
        <v>3.09999959988</v>
      </c>
      <c r="H12" s="14" t="n">
        <f aca="false">RANK(G12,$G$2:$G$13,0)</f>
        <v>7</v>
      </c>
    </row>
    <row r="13" customFormat="false" ht="15" hidden="false" customHeight="false" outlineLevel="0" collapsed="false">
      <c r="A13" s="11" t="s">
        <v>48</v>
      </c>
      <c r="B13" s="11" t="s">
        <v>46</v>
      </c>
      <c r="C13" s="11" t="n">
        <v>4</v>
      </c>
      <c r="D13" s="12"/>
      <c r="E13" s="11" t="n">
        <v>6</v>
      </c>
      <c r="F13" s="13" t="n">
        <f aca="false">IF(Setup!$B$3="Volume",IF(D13="",-1,D13),-C13)</f>
        <v>-1</v>
      </c>
      <c r="G13" s="13" t="n">
        <f aca="false">F13-(C13*0.0000001)-(ROW()*0.00000000001)</f>
        <v>-1.00000040013</v>
      </c>
      <c r="H13" s="14" t="n">
        <f aca="false">RANK(G13,$G$2:$G$13,0)</f>
        <v>12</v>
      </c>
    </row>
    <row r="15" customFormat="false" ht="27.75" hidden="false" customHeight="true" outlineLevel="0" collapsed="false">
      <c r="A15" s="15" t="s">
        <v>49</v>
      </c>
      <c r="B15" s="15"/>
      <c r="C15" s="15"/>
      <c r="D15" s="15"/>
      <c r="E15" s="15"/>
      <c r="F15" s="15"/>
      <c r="G15" s="15"/>
      <c r="H15" s="15"/>
    </row>
  </sheetData>
  <mergeCells count="1"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14" min="9" style="0" width="12"/>
  </cols>
  <sheetData>
    <row r="1" customFormat="false" ht="17.35" hidden="false" customHeight="fals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8" t="s">
        <v>51</v>
      </c>
      <c r="B3" s="8" t="s">
        <v>25</v>
      </c>
      <c r="C3" s="8" t="s">
        <v>26</v>
      </c>
      <c r="D3" s="8" t="s">
        <v>28</v>
      </c>
      <c r="E3" s="8" t="s">
        <v>29</v>
      </c>
      <c r="F3" s="8" t="s">
        <v>52</v>
      </c>
      <c r="G3" s="8" t="s">
        <v>53</v>
      </c>
      <c r="H3" s="8" t="s">
        <v>54</v>
      </c>
      <c r="I3" s="8" t="s">
        <v>55</v>
      </c>
      <c r="J3" s="8" t="s">
        <v>56</v>
      </c>
      <c r="K3" s="8" t="s">
        <v>57</v>
      </c>
      <c r="L3" s="8" t="s">
        <v>58</v>
      </c>
      <c r="M3" s="8" t="s">
        <v>59</v>
      </c>
      <c r="N3" s="8" t="s">
        <v>60</v>
      </c>
    </row>
    <row r="4" customFormat="false" ht="15" hidden="false" customHeight="false" outlineLevel="0" collapsed="false">
      <c r="I4" s="16" t="str">
        <f aca="false">IF(1&lt;=Setup!$B$4,"Server "&amp;1,"")</f>
        <v>Server 1</v>
      </c>
      <c r="J4" s="16" t="str">
        <f aca="false">IF(2&lt;=Setup!$B$4,"Server "&amp;2,"")</f>
        <v>Server 2</v>
      </c>
      <c r="K4" s="16" t="str">
        <f aca="false">IF(3&lt;=Setup!$B$4,"Server "&amp;3,"")</f>
        <v>Server 3</v>
      </c>
      <c r="L4" s="16" t="str">
        <f aca="false">IF(4&lt;=Setup!$B$4,"Server "&amp;4,"")</f>
        <v/>
      </c>
      <c r="M4" s="16" t="str">
        <f aca="false">IF(5&lt;=Setup!$B$4,"Server "&amp;5,"")</f>
        <v/>
      </c>
      <c r="N4" s="16" t="str">
        <f aca="false">IF(6&lt;=Setup!$B$4,"Server "&amp;6,"")</f>
        <v/>
      </c>
    </row>
    <row r="5" customFormat="false" ht="15" hidden="false" customHeight="false" outlineLevel="0" collapsed="false">
      <c r="A5" s="4" t="s">
        <v>61</v>
      </c>
      <c r="I5" s="17" t="n">
        <f aca="false">IF(I$4="","",Setup!$B$17)</f>
        <v>46230.3333333333</v>
      </c>
      <c r="J5" s="17" t="n">
        <f aca="false">IF(J$4="","",Setup!$B$18)</f>
        <v>46230.3333333333</v>
      </c>
      <c r="K5" s="17" t="n">
        <f aca="false">IF(K$4="","",Setup!$B$19)</f>
        <v>46230.3333333333</v>
      </c>
      <c r="L5" s="17" t="str">
        <f aca="false">IF(L$4="","",Setup!$B$20)</f>
        <v/>
      </c>
      <c r="M5" s="17" t="str">
        <f aca="false">IF(M$4="","",Setup!$B$21)</f>
        <v/>
      </c>
      <c r="N5" s="17" t="str">
        <f aca="false">IF(N$4="","",Setup!$B$22)</f>
        <v/>
      </c>
    </row>
    <row r="6" customFormat="false" ht="15" hidden="false" customHeight="false" outlineLevel="0" collapsed="false">
      <c r="A6" s="14" t="n">
        <v>1</v>
      </c>
      <c r="B6" s="14" t="str">
        <f aca="false">IFERROR(INDEX(Drives!$A$2:$A$13,MATCH($A6,Drives!$H$2:$H$13,0)),"")</f>
        <v>D010</v>
      </c>
      <c r="C6" s="14" t="str">
        <f aca="false">IF($B6="","",INDEX(Drives!$B$2:$B$13,MATCH($A6,Drives!$H$2:$H$13,0)))</f>
        <v>Bristol</v>
      </c>
      <c r="D6" s="18" t="n">
        <f aca="false">IF($B6="","",INDEX(Drives!$D$2:$D$13,MATCH($A6,Drives!$H$2:$H$13,0)))</f>
        <v>45.3</v>
      </c>
      <c r="E6" s="14" t="n">
        <f aca="false">IF($B6="","",INDEX(Drives!$E$2:$E$13,MATCH($A6,Drives!$H$2:$H$13,0)))</f>
        <v>20</v>
      </c>
      <c r="F6" s="14" t="str">
        <f aca="false">IF($B6="","",INDEX($I$4:$N$4,MATCH(MIN($I5:$N5),$I5:$N5,0)))</f>
        <v>Server 1</v>
      </c>
      <c r="G6" s="19" t="n">
        <f aca="false">IF($B6="","",MIN($I5:$N5))</f>
        <v>46230.3333333333</v>
      </c>
      <c r="H6" s="19" t="n">
        <f aca="false">IF($B6="","",$G6+$E6/24)</f>
        <v>46231.1666666667</v>
      </c>
      <c r="I6" s="19" t="n">
        <f aca="false">IF(I$4="","",IF($B6="",I5,IF(I$4=$F6,$H6,I5)))</f>
        <v>46231.1666666667</v>
      </c>
      <c r="J6" s="19" t="n">
        <f aca="false">IF(J$4="","",IF($B6="",J5,IF(J$4=$F6,$H6,J5)))</f>
        <v>46230.3333333333</v>
      </c>
      <c r="K6" s="19" t="n">
        <f aca="false">IF(K$4="","",IF($B6="",K5,IF(K$4=$F6,$H6,K5)))</f>
        <v>46230.3333333333</v>
      </c>
      <c r="L6" s="19" t="str">
        <f aca="false">IF(L$4="","",IF($B6="",L5,IF(L$4=$F6,$H6,L5)))</f>
        <v/>
      </c>
      <c r="M6" s="19" t="str">
        <f aca="false">IF(M$4="","",IF($B6="",M5,IF(M$4=$F6,$H6,M5)))</f>
        <v/>
      </c>
      <c r="N6" s="19" t="str">
        <f aca="false">IF(N$4="","",IF($B6="",N5,IF(N$4=$F6,$H6,N5)))</f>
        <v/>
      </c>
    </row>
    <row r="7" customFormat="false" ht="15" hidden="false" customHeight="false" outlineLevel="0" collapsed="false">
      <c r="A7" s="14" t="n">
        <v>2</v>
      </c>
      <c r="B7" s="14" t="str">
        <f aca="false">IFERROR(INDEX(Drives!$A$2:$A$13,MATCH($A7,Drives!$H$2:$H$13,0)),"")</f>
        <v>D004</v>
      </c>
      <c r="C7" s="14" t="str">
        <f aca="false">IF($B7="","",INDEX(Drives!$B$2:$B$13,MATCH($A7,Drives!$H$2:$H$13,0)))</f>
        <v>Manchester</v>
      </c>
      <c r="D7" s="18" t="n">
        <f aca="false">IF($B7="","",INDEX(Drives!$D$2:$D$13,MATCH($A7,Drives!$H$2:$H$13,0)))</f>
        <v>30</v>
      </c>
      <c r="E7" s="14" t="n">
        <f aca="false">IF($B7="","",INDEX(Drives!$E$2:$E$13,MATCH($A7,Drives!$H$2:$H$13,0)))</f>
        <v>14</v>
      </c>
      <c r="F7" s="14" t="str">
        <f aca="false">IF($B7="","",INDEX($I$4:$N$4,MATCH(MIN($I6:$N6),$I6:$N6,0)))</f>
        <v>Server 2</v>
      </c>
      <c r="G7" s="19" t="n">
        <f aca="false">IF($B7="","",MIN($I6:$N6))</f>
        <v>46230.3333333333</v>
      </c>
      <c r="H7" s="19" t="n">
        <f aca="false">IF($B7="","",$G7+$E7/24)</f>
        <v>46230.9166666667</v>
      </c>
      <c r="I7" s="19" t="n">
        <f aca="false">IF(I$4="","",IF($B7="",I6,IF(I$4=$F7,$H7,I6)))</f>
        <v>46231.1666666667</v>
      </c>
      <c r="J7" s="19" t="n">
        <f aca="false">IF(J$4="","",IF($B7="",J6,IF(J$4=$F7,$H7,J6)))</f>
        <v>46230.9166666667</v>
      </c>
      <c r="K7" s="19" t="n">
        <f aca="false">IF(K$4="","",IF($B7="",K6,IF(K$4=$F7,$H7,K6)))</f>
        <v>46230.3333333333</v>
      </c>
      <c r="L7" s="19" t="str">
        <f aca="false">IF(L$4="","",IF($B7="",L6,IF(L$4=$F7,$H7,L6)))</f>
        <v/>
      </c>
      <c r="M7" s="19" t="str">
        <f aca="false">IF(M$4="","",IF($B7="",M6,IF(M$4=$F7,$H7,M6)))</f>
        <v/>
      </c>
      <c r="N7" s="19" t="str">
        <f aca="false">IF(N$4="","",IF($B7="",N6,IF(N$4=$F7,$H7,N6)))</f>
        <v/>
      </c>
    </row>
    <row r="8" customFormat="false" ht="15" hidden="false" customHeight="false" outlineLevel="0" collapsed="false">
      <c r="A8" s="14" t="n">
        <v>3</v>
      </c>
      <c r="B8" s="14" t="str">
        <f aca="false">IFERROR(INDEX(Drives!$A$2:$A$13,MATCH($A8,Drives!$H$2:$H$13,0)),"")</f>
        <v>D008</v>
      </c>
      <c r="C8" s="14" t="str">
        <f aca="false">IF($B8="","",INDEX(Drives!$B$2:$B$13,MATCH($A8,Drives!$H$2:$H$13,0)))</f>
        <v>Leeds</v>
      </c>
      <c r="D8" s="18" t="n">
        <f aca="false">IF($B8="","",INDEX(Drives!$D$2:$D$13,MATCH($A8,Drives!$H$2:$H$13,0)))</f>
        <v>22.1</v>
      </c>
      <c r="E8" s="14" t="n">
        <f aca="false">IF($B8="","",INDEX(Drives!$E$2:$E$13,MATCH($A8,Drives!$H$2:$H$13,0)))</f>
        <v>11</v>
      </c>
      <c r="F8" s="14" t="str">
        <f aca="false">IF($B8="","",INDEX($I$4:$N$4,MATCH(MIN($I7:$N7),$I7:$N7,0)))</f>
        <v>Server 3</v>
      </c>
      <c r="G8" s="19" t="n">
        <f aca="false">IF($B8="","",MIN($I7:$N7))</f>
        <v>46230.3333333333</v>
      </c>
      <c r="H8" s="19" t="n">
        <f aca="false">IF($B8="","",$G8+$E8/24)</f>
        <v>46230.7916666667</v>
      </c>
      <c r="I8" s="19" t="n">
        <f aca="false">IF(I$4="","",IF($B8="",I7,IF(I$4=$F8,$H8,I7)))</f>
        <v>46231.1666666667</v>
      </c>
      <c r="J8" s="19" t="n">
        <f aca="false">IF(J$4="","",IF($B8="",J7,IF(J$4=$F8,$H8,J7)))</f>
        <v>46230.9166666667</v>
      </c>
      <c r="K8" s="19" t="n">
        <f aca="false">IF(K$4="","",IF($B8="",K7,IF(K$4=$F8,$H8,K7)))</f>
        <v>46230.7916666667</v>
      </c>
      <c r="L8" s="19" t="str">
        <f aca="false">IF(L$4="","",IF($B8="",L7,IF(L$4=$F8,$H8,L7)))</f>
        <v/>
      </c>
      <c r="M8" s="19" t="str">
        <f aca="false">IF(M$4="","",IF($B8="",M7,IF(M$4=$F8,$H8,M7)))</f>
        <v/>
      </c>
      <c r="N8" s="19" t="str">
        <f aca="false">IF(N$4="","",IF($B8="",N7,IF(N$4=$F8,$H8,N7)))</f>
        <v/>
      </c>
    </row>
    <row r="9" customFormat="false" ht="15" hidden="false" customHeight="false" outlineLevel="0" collapsed="false">
      <c r="A9" s="14" t="n">
        <v>4</v>
      </c>
      <c r="B9" s="14" t="str">
        <f aca="false">IFERROR(INDEX(Drives!$A$2:$A$13,MATCH($A9,Drives!$H$2:$H$13,0)),"")</f>
        <v>D006</v>
      </c>
      <c r="C9" s="14" t="str">
        <f aca="false">IF($B9="","",INDEX(Drives!$B$2:$B$13,MATCH($A9,Drives!$H$2:$H$13,0)))</f>
        <v>Manchester</v>
      </c>
      <c r="D9" s="18" t="n">
        <f aca="false">IF($B9="","",INDEX(Drives!$D$2:$D$13,MATCH($A9,Drives!$H$2:$H$13,0)))</f>
        <v>18.6</v>
      </c>
      <c r="E9" s="14" t="n">
        <f aca="false">IF($B9="","",INDEX(Drives!$E$2:$E$13,MATCH($A9,Drives!$H$2:$H$13,0)))</f>
        <v>9</v>
      </c>
      <c r="F9" s="14" t="str">
        <f aca="false">IF($B9="","",INDEX($I$4:$N$4,MATCH(MIN($I8:$N8),$I8:$N8,0)))</f>
        <v>Server 3</v>
      </c>
      <c r="G9" s="19" t="n">
        <f aca="false">IF($B9="","",MIN($I8:$N8))</f>
        <v>46230.7916666667</v>
      </c>
      <c r="H9" s="19" t="n">
        <f aca="false">IF($B9="","",$G9+$E9/24)</f>
        <v>46231.1666666667</v>
      </c>
      <c r="I9" s="19" t="n">
        <f aca="false">IF(I$4="","",IF($B9="",I8,IF(I$4=$F9,$H9,I8)))</f>
        <v>46231.1666666667</v>
      </c>
      <c r="J9" s="19" t="n">
        <f aca="false">IF(J$4="","",IF($B9="",J8,IF(J$4=$F9,$H9,J8)))</f>
        <v>46230.9166666667</v>
      </c>
      <c r="K9" s="19" t="n">
        <f aca="false">IF(K$4="","",IF($B9="",K8,IF(K$4=$F9,$H9,K8)))</f>
        <v>46231.1666666667</v>
      </c>
      <c r="L9" s="19" t="str">
        <f aca="false">IF(L$4="","",IF($B9="",L8,IF(L$4=$F9,$H9,L8)))</f>
        <v/>
      </c>
      <c r="M9" s="19" t="str">
        <f aca="false">IF(M$4="","",IF($B9="",M8,IF(M$4=$F9,$H9,M8)))</f>
        <v/>
      </c>
      <c r="N9" s="19" t="str">
        <f aca="false">IF(N$4="","",IF($B9="",N8,IF(N$4=$F9,$H9,N8)))</f>
        <v/>
      </c>
    </row>
    <row r="10" customFormat="false" ht="15" hidden="false" customHeight="false" outlineLevel="0" collapsed="false">
      <c r="A10" s="14" t="n">
        <v>5</v>
      </c>
      <c r="B10" s="14" t="str">
        <f aca="false">IFERROR(INDEX(Drives!$A$2:$A$13,MATCH($A10,Drives!$H$2:$H$13,0)),"")</f>
        <v>D001</v>
      </c>
      <c r="C10" s="14" t="str">
        <f aca="false">IF($B10="","",INDEX(Drives!$B$2:$B$13,MATCH($A10,Drives!$H$2:$H$13,0)))</f>
        <v>London</v>
      </c>
      <c r="D10" s="18" t="n">
        <f aca="false">IF($B10="","",INDEX(Drives!$D$2:$D$13,MATCH($A10,Drives!$H$2:$H$13,0)))</f>
        <v>12.5</v>
      </c>
      <c r="E10" s="14" t="n">
        <f aca="false">IF($B10="","",INDEX(Drives!$E$2:$E$13,MATCH($A10,Drives!$H$2:$H$13,0)))</f>
        <v>6</v>
      </c>
      <c r="F10" s="14" t="str">
        <f aca="false">IF($B10="","",INDEX($I$4:$N$4,MATCH(MIN($I9:$N9),$I9:$N9,0)))</f>
        <v>Server 2</v>
      </c>
      <c r="G10" s="19" t="n">
        <f aca="false">IF($B10="","",MIN($I9:$N9))</f>
        <v>46230.9166666667</v>
      </c>
      <c r="H10" s="19" t="n">
        <f aca="false">IF($B10="","",$G10+$E10/24)</f>
        <v>46231.1666666667</v>
      </c>
      <c r="I10" s="19" t="n">
        <f aca="false">IF(I$4="","",IF($B10="",I9,IF(I$4=$F10,$H10,I9)))</f>
        <v>46231.1666666667</v>
      </c>
      <c r="J10" s="19" t="n">
        <f aca="false">IF(J$4="","",IF($B10="",J9,IF(J$4=$F10,$H10,J9)))</f>
        <v>46231.1666666667</v>
      </c>
      <c r="K10" s="19" t="n">
        <f aca="false">IF(K$4="","",IF($B10="",K9,IF(K$4=$F10,$H10,K9)))</f>
        <v>46231.1666666667</v>
      </c>
      <c r="L10" s="19" t="str">
        <f aca="false">IF(L$4="","",IF($B10="",L9,IF(L$4=$F10,$H10,L9)))</f>
        <v/>
      </c>
      <c r="M10" s="19" t="str">
        <f aca="false">IF(M$4="","",IF($B10="",M9,IF(M$4=$F10,$H10,M9)))</f>
        <v/>
      </c>
      <c r="N10" s="19" t="str">
        <f aca="false">IF(N$4="","",IF($B10="",N9,IF(N$4=$F10,$H10,N9)))</f>
        <v/>
      </c>
    </row>
    <row r="11" customFormat="false" ht="15" hidden="false" customHeight="false" outlineLevel="0" collapsed="false">
      <c r="A11" s="14" t="n">
        <v>6</v>
      </c>
      <c r="B11" s="14" t="str">
        <f aca="false">IFERROR(INDEX(Drives!$A$2:$A$13,MATCH($A11,Drives!$H$2:$H$13,0)),"")</f>
        <v>D003</v>
      </c>
      <c r="C11" s="14" t="str">
        <f aca="false">IF($B11="","",INDEX(Drives!$B$2:$B$13,MATCH($A11,Drives!$H$2:$H$13,0)))</f>
        <v>London</v>
      </c>
      <c r="D11" s="18" t="n">
        <f aca="false">IF($B11="","",INDEX(Drives!$D$2:$D$13,MATCH($A11,Drives!$H$2:$H$13,0)))</f>
        <v>4.2</v>
      </c>
      <c r="E11" s="14" t="n">
        <f aca="false">IF($B11="","",INDEX(Drives!$E$2:$E$13,MATCH($A11,Drives!$H$2:$H$13,0)))</f>
        <v>3</v>
      </c>
      <c r="F11" s="14" t="str">
        <f aca="false">IF($B11="","",INDEX($I$4:$N$4,MATCH(MIN($I10:$N10),$I10:$N10,0)))</f>
        <v>Server 1</v>
      </c>
      <c r="G11" s="19" t="n">
        <f aca="false">IF($B11="","",MIN($I10:$N10))</f>
        <v>46231.1666666667</v>
      </c>
      <c r="H11" s="19" t="n">
        <f aca="false">IF($B11="","",$G11+$E11/24)</f>
        <v>46231.2916666667</v>
      </c>
      <c r="I11" s="19" t="n">
        <f aca="false">IF(I$4="","",IF($B11="",I10,IF(I$4=$F11,$H11,I10)))</f>
        <v>46231.2916666667</v>
      </c>
      <c r="J11" s="19" t="n">
        <f aca="false">IF(J$4="","",IF($B11="",J10,IF(J$4=$F11,$H11,J10)))</f>
        <v>46231.1666666667</v>
      </c>
      <c r="K11" s="19" t="n">
        <f aca="false">IF(K$4="","",IF($B11="",K10,IF(K$4=$F11,$H11,K10)))</f>
        <v>46231.1666666667</v>
      </c>
      <c r="L11" s="19" t="str">
        <f aca="false">IF(L$4="","",IF($B11="",L10,IF(L$4=$F11,$H11,L10)))</f>
        <v/>
      </c>
      <c r="M11" s="19" t="str">
        <f aca="false">IF(M$4="","",IF($B11="",M10,IF(M$4=$F11,$H11,M10)))</f>
        <v/>
      </c>
      <c r="N11" s="19" t="str">
        <f aca="false">IF(N$4="","",IF($B11="",N10,IF(N$4=$F11,$H11,N10)))</f>
        <v/>
      </c>
    </row>
    <row r="12" customFormat="false" ht="15" hidden="false" customHeight="false" outlineLevel="0" collapsed="false">
      <c r="A12" s="14" t="n">
        <v>7</v>
      </c>
      <c r="B12" s="14" t="str">
        <f aca="false">IFERROR(INDEX(Drives!$A$2:$A$13,MATCH($A12,Drives!$H$2:$H$13,0)),"")</f>
        <v>D011</v>
      </c>
      <c r="C12" s="14" t="str">
        <f aca="false">IF($B12="","",INDEX(Drives!$B$2:$B$13,MATCH($A12,Drives!$H$2:$H$13,0)))</f>
        <v>Bristol</v>
      </c>
      <c r="D12" s="18" t="n">
        <f aca="false">IF($B12="","",INDEX(Drives!$D$2:$D$13,MATCH($A12,Drives!$H$2:$H$13,0)))</f>
        <v>3.1</v>
      </c>
      <c r="E12" s="14" t="n">
        <f aca="false">IF($B12="","",INDEX(Drives!$E$2:$E$13,MATCH($A12,Drives!$H$2:$H$13,0)))</f>
        <v>2</v>
      </c>
      <c r="F12" s="14" t="str">
        <f aca="false">IF($B12="","",INDEX($I$4:$N$4,MATCH(MIN($I11:$N11),$I11:$N11,0)))</f>
        <v>Server 2</v>
      </c>
      <c r="G12" s="19" t="n">
        <f aca="false">IF($B12="","",MIN($I11:$N11))</f>
        <v>46231.1666666667</v>
      </c>
      <c r="H12" s="19" t="n">
        <f aca="false">IF($B12="","",$G12+$E12/24)</f>
        <v>46231.25</v>
      </c>
      <c r="I12" s="19" t="n">
        <f aca="false">IF(I$4="","",IF($B12="",I11,IF(I$4=$F12,$H12,I11)))</f>
        <v>46231.2916666667</v>
      </c>
      <c r="J12" s="19" t="n">
        <f aca="false">IF(J$4="","",IF($B12="",J11,IF(J$4=$F12,$H12,J11)))</f>
        <v>46231.25</v>
      </c>
      <c r="K12" s="19" t="n">
        <f aca="false">IF(K$4="","",IF($B12="",K11,IF(K$4=$F12,$H12,K11)))</f>
        <v>46231.1666666667</v>
      </c>
      <c r="L12" s="19" t="str">
        <f aca="false">IF(L$4="","",IF($B12="",L11,IF(L$4=$F12,$H12,L11)))</f>
        <v/>
      </c>
      <c r="M12" s="19" t="str">
        <f aca="false">IF(M$4="","",IF($B12="",M11,IF(M$4=$F12,$H12,M11)))</f>
        <v/>
      </c>
      <c r="N12" s="19" t="str">
        <f aca="false">IF(N$4="","",IF($B12="",N11,IF(N$4=$F12,$H12,N11)))</f>
        <v/>
      </c>
    </row>
    <row r="13" customFormat="false" ht="15" hidden="false" customHeight="false" outlineLevel="0" collapsed="false">
      <c r="A13" s="14" t="n">
        <v>8</v>
      </c>
      <c r="B13" s="14" t="str">
        <f aca="false">IFERROR(INDEX(Drives!$A$2:$A$13,MATCH($A13,Drives!$H$2:$H$13,0)),"")</f>
        <v>D002</v>
      </c>
      <c r="C13" s="14" t="str">
        <f aca="false">IF($B13="","",INDEX(Drives!$B$2:$B$13,MATCH($A13,Drives!$H$2:$H$13,0)))</f>
        <v>London</v>
      </c>
      <c r="D13" s="18" t="n">
        <f aca="false">IF($B13="","",INDEX(Drives!$D$2:$D$13,MATCH($A13,Drives!$H$2:$H$13,0)))</f>
        <v>0</v>
      </c>
      <c r="E13" s="14" t="n">
        <f aca="false">IF($B13="","",INDEX(Drives!$E$2:$E$13,MATCH($A13,Drives!$H$2:$H$13,0)))</f>
        <v>8</v>
      </c>
      <c r="F13" s="14" t="str">
        <f aca="false">IF($B13="","",INDEX($I$4:$N$4,MATCH(MIN($I12:$N12),$I12:$N12,0)))</f>
        <v>Server 3</v>
      </c>
      <c r="G13" s="19" t="n">
        <f aca="false">IF($B13="","",MIN($I12:$N12))</f>
        <v>46231.1666666667</v>
      </c>
      <c r="H13" s="19" t="n">
        <f aca="false">IF($B13="","",$G13+$E13/24)</f>
        <v>46231.5</v>
      </c>
      <c r="I13" s="19" t="n">
        <f aca="false">IF(I$4="","",IF($B13="",I12,IF(I$4=$F13,$H13,I12)))</f>
        <v>46231.2916666667</v>
      </c>
      <c r="J13" s="19" t="n">
        <f aca="false">IF(J$4="","",IF($B13="",J12,IF(J$4=$F13,$H13,J12)))</f>
        <v>46231.25</v>
      </c>
      <c r="K13" s="19" t="n">
        <f aca="false">IF(K$4="","",IF($B13="",K12,IF(K$4=$F13,$H13,K12)))</f>
        <v>46231.5</v>
      </c>
      <c r="L13" s="19" t="str">
        <f aca="false">IF(L$4="","",IF($B13="",L12,IF(L$4=$F13,$H13,L12)))</f>
        <v/>
      </c>
      <c r="M13" s="19" t="str">
        <f aca="false">IF(M$4="","",IF($B13="",M12,IF(M$4=$F13,$H13,M12)))</f>
        <v/>
      </c>
      <c r="N13" s="19" t="str">
        <f aca="false">IF(N$4="","",IF($B13="",N12,IF(N$4=$F13,$H13,N12)))</f>
        <v/>
      </c>
    </row>
    <row r="14" customFormat="false" ht="15" hidden="false" customHeight="false" outlineLevel="0" collapsed="false">
      <c r="A14" s="14" t="n">
        <v>9</v>
      </c>
      <c r="B14" s="14" t="str">
        <f aca="false">IFERROR(INDEX(Drives!$A$2:$A$13,MATCH($A14,Drives!$H$2:$H$13,0)),"")</f>
        <v>D005</v>
      </c>
      <c r="C14" s="14" t="str">
        <f aca="false">IF($B14="","",INDEX(Drives!$B$2:$B$13,MATCH($A14,Drives!$H$2:$H$13,0)))</f>
        <v>Manchester</v>
      </c>
      <c r="D14" s="18" t="n">
        <f aca="false">IF($B14="","",INDEX(Drives!$D$2:$D$13,MATCH($A14,Drives!$H$2:$H$13,0)))</f>
        <v>0</v>
      </c>
      <c r="E14" s="14" t="n">
        <f aca="false">IF($B14="","",INDEX(Drives!$E$2:$E$13,MATCH($A14,Drives!$H$2:$H$13,0)))</f>
        <v>10</v>
      </c>
      <c r="F14" s="14" t="str">
        <f aca="false">IF($B14="","",INDEX($I$4:$N$4,MATCH(MIN($I13:$N13),$I13:$N13,0)))</f>
        <v>Server 2</v>
      </c>
      <c r="G14" s="19" t="n">
        <f aca="false">IF($B14="","",MIN($I13:$N13))</f>
        <v>46231.25</v>
      </c>
      <c r="H14" s="19" t="n">
        <f aca="false">IF($B14="","",$G14+$E14/24)</f>
        <v>46231.6666666667</v>
      </c>
      <c r="I14" s="19" t="n">
        <f aca="false">IF(I$4="","",IF($B14="",I13,IF(I$4=$F14,$H14,I13)))</f>
        <v>46231.2916666667</v>
      </c>
      <c r="J14" s="19" t="n">
        <f aca="false">IF(J$4="","",IF($B14="",J13,IF(J$4=$F14,$H14,J13)))</f>
        <v>46231.6666666667</v>
      </c>
      <c r="K14" s="19" t="n">
        <f aca="false">IF(K$4="","",IF($B14="",K13,IF(K$4=$F14,$H14,K13)))</f>
        <v>46231.5</v>
      </c>
      <c r="L14" s="19" t="str">
        <f aca="false">IF(L$4="","",IF($B14="",L13,IF(L$4=$F14,$H14,L13)))</f>
        <v/>
      </c>
      <c r="M14" s="19" t="str">
        <f aca="false">IF(M$4="","",IF($B14="",M13,IF(M$4=$F14,$H14,M13)))</f>
        <v/>
      </c>
      <c r="N14" s="19" t="str">
        <f aca="false">IF(N$4="","",IF($B14="",N13,IF(N$4=$F14,$H14,N13)))</f>
        <v/>
      </c>
    </row>
    <row r="15" customFormat="false" ht="15" hidden="false" customHeight="false" outlineLevel="0" collapsed="false">
      <c r="A15" s="14" t="n">
        <v>10</v>
      </c>
      <c r="B15" s="14" t="str">
        <f aca="false">IFERROR(INDEX(Drives!$A$2:$A$13,MATCH($A15,Drives!$H$2:$H$13,0)),"")</f>
        <v>D007</v>
      </c>
      <c r="C15" s="14" t="str">
        <f aca="false">IF($B15="","",INDEX(Drives!$B$2:$B$13,MATCH($A15,Drives!$H$2:$H$13,0)))</f>
        <v>Leeds</v>
      </c>
      <c r="D15" s="18" t="n">
        <f aca="false">IF($B15="","",INDEX(Drives!$D$2:$D$13,MATCH($A15,Drives!$H$2:$H$13,0)))</f>
        <v>0</v>
      </c>
      <c r="E15" s="14" t="n">
        <f aca="false">IF($B15="","",INDEX(Drives!$E$2:$E$13,MATCH($A15,Drives!$H$2:$H$13,0)))</f>
        <v>5</v>
      </c>
      <c r="F15" s="14" t="str">
        <f aca="false">IF($B15="","",INDEX($I$4:$N$4,MATCH(MIN($I14:$N14),$I14:$N14,0)))</f>
        <v>Server 1</v>
      </c>
      <c r="G15" s="19" t="n">
        <f aca="false">IF($B15="","",MIN($I14:$N14))</f>
        <v>46231.2916666667</v>
      </c>
      <c r="H15" s="19" t="n">
        <f aca="false">IF($B15="","",$G15+$E15/24)</f>
        <v>46231.5</v>
      </c>
      <c r="I15" s="19" t="n">
        <f aca="false">IF(I$4="","",IF($B15="",I14,IF(I$4=$F15,$H15,I14)))</f>
        <v>46231.5</v>
      </c>
      <c r="J15" s="19" t="n">
        <f aca="false">IF(J$4="","",IF($B15="",J14,IF(J$4=$F15,$H15,J14)))</f>
        <v>46231.6666666667</v>
      </c>
      <c r="K15" s="19" t="n">
        <f aca="false">IF(K$4="","",IF($B15="",K14,IF(K$4=$F15,$H15,K14)))</f>
        <v>46231.5</v>
      </c>
      <c r="L15" s="19" t="str">
        <f aca="false">IF(L$4="","",IF($B15="",L14,IF(L$4=$F15,$H15,L14)))</f>
        <v/>
      </c>
      <c r="M15" s="19" t="str">
        <f aca="false">IF(M$4="","",IF($B15="",M14,IF(M$4=$F15,$H15,M14)))</f>
        <v/>
      </c>
      <c r="N15" s="19" t="str">
        <f aca="false">IF(N$4="","",IF($B15="",N14,IF(N$4=$F15,$H15,N14)))</f>
        <v/>
      </c>
    </row>
    <row r="16" customFormat="false" ht="15" hidden="false" customHeight="false" outlineLevel="0" collapsed="false">
      <c r="A16" s="14" t="n">
        <v>11</v>
      </c>
      <c r="B16" s="14" t="str">
        <f aca="false">IFERROR(INDEX(Drives!$A$2:$A$13,MATCH($A16,Drives!$H$2:$H$13,0)),"")</f>
        <v>D009</v>
      </c>
      <c r="C16" s="14" t="str">
        <f aca="false">IF($B16="","",INDEX(Drives!$B$2:$B$13,MATCH($A16,Drives!$H$2:$H$13,0)))</f>
        <v>Leeds</v>
      </c>
      <c r="D16" s="18" t="n">
        <f aca="false">IF($B16="","",INDEX(Drives!$D$2:$D$13,MATCH($A16,Drives!$H$2:$H$13,0)))</f>
        <v>0</v>
      </c>
      <c r="E16" s="14" t="n">
        <f aca="false">IF($B16="","",INDEX(Drives!$E$2:$E$13,MATCH($A16,Drives!$H$2:$H$13,0)))</f>
        <v>7</v>
      </c>
      <c r="F16" s="14" t="str">
        <f aca="false">IF($B16="","",INDEX($I$4:$N$4,MATCH(MIN($I15:$N15),$I15:$N15,0)))</f>
        <v>Server 1</v>
      </c>
      <c r="G16" s="19" t="n">
        <f aca="false">IF($B16="","",MIN($I15:$N15))</f>
        <v>46231.5</v>
      </c>
      <c r="H16" s="19" t="n">
        <f aca="false">IF($B16="","",$G16+$E16/24)</f>
        <v>46231.7916666667</v>
      </c>
      <c r="I16" s="19" t="n">
        <f aca="false">IF(I$4="","",IF($B16="",I15,IF(I$4=$F16,$H16,I15)))</f>
        <v>46231.7916666667</v>
      </c>
      <c r="J16" s="19" t="n">
        <f aca="false">IF(J$4="","",IF($B16="",J15,IF(J$4=$F16,$H16,J15)))</f>
        <v>46231.6666666667</v>
      </c>
      <c r="K16" s="19" t="n">
        <f aca="false">IF(K$4="","",IF($B16="",K15,IF(K$4=$F16,$H16,K15)))</f>
        <v>46231.5</v>
      </c>
      <c r="L16" s="19" t="str">
        <f aca="false">IF(L$4="","",IF($B16="",L15,IF(L$4=$F16,$H16,L15)))</f>
        <v/>
      </c>
      <c r="M16" s="19" t="str">
        <f aca="false">IF(M$4="","",IF($B16="",M15,IF(M$4=$F16,$H16,M15)))</f>
        <v/>
      </c>
      <c r="N16" s="19" t="str">
        <f aca="false">IF(N$4="","",IF($B16="",N15,IF(N$4=$F16,$H16,N15)))</f>
        <v/>
      </c>
    </row>
    <row r="17" customFormat="false" ht="15" hidden="false" customHeight="false" outlineLevel="0" collapsed="false">
      <c r="A17" s="14" t="n">
        <v>12</v>
      </c>
      <c r="B17" s="14" t="str">
        <f aca="false">IFERROR(INDEX(Drives!$A$2:$A$13,MATCH($A17,Drives!$H$2:$H$13,0)),"")</f>
        <v>D012</v>
      </c>
      <c r="C17" s="14" t="str">
        <f aca="false">IF($B17="","",INDEX(Drives!$B$2:$B$13,MATCH($A17,Drives!$H$2:$H$13,0)))</f>
        <v>Bristol</v>
      </c>
      <c r="D17" s="18" t="n">
        <f aca="false">IF($B17="","",INDEX(Drives!$D$2:$D$13,MATCH($A17,Drives!$H$2:$H$13,0)))</f>
        <v>0</v>
      </c>
      <c r="E17" s="14" t="n">
        <f aca="false">IF($B17="","",INDEX(Drives!$E$2:$E$13,MATCH($A17,Drives!$H$2:$H$13,0)))</f>
        <v>6</v>
      </c>
      <c r="F17" s="14" t="str">
        <f aca="false">IF($B17="","",INDEX($I$4:$N$4,MATCH(MIN($I16:$N16),$I16:$N16,0)))</f>
        <v>Server 3</v>
      </c>
      <c r="G17" s="19" t="n">
        <f aca="false">IF($B17="","",MIN($I16:$N16))</f>
        <v>46231.5</v>
      </c>
      <c r="H17" s="19" t="n">
        <f aca="false">IF($B17="","",$G17+$E17/24)</f>
        <v>46231.75</v>
      </c>
      <c r="I17" s="19" t="n">
        <f aca="false">IF(I$4="","",IF($B17="",I16,IF(I$4=$F17,$H17,I16)))</f>
        <v>46231.7916666667</v>
      </c>
      <c r="J17" s="19" t="n">
        <f aca="false">IF(J$4="","",IF($B17="",J16,IF(J$4=$F17,$H17,J16)))</f>
        <v>46231.6666666667</v>
      </c>
      <c r="K17" s="19" t="n">
        <f aca="false">IF(K$4="","",IF($B17="",K16,IF(K$4=$F17,$H17,K16)))</f>
        <v>46231.75</v>
      </c>
      <c r="L17" s="19" t="str">
        <f aca="false">IF(L$4="","",IF($B17="",L16,IF(L$4=$F17,$H17,L16)))</f>
        <v/>
      </c>
      <c r="M17" s="19" t="str">
        <f aca="false">IF(M$4="","",IF($B17="",M16,IF(M$4=$F17,$H17,M16)))</f>
        <v/>
      </c>
      <c r="N17" s="19" t="str">
        <f aca="false">IF(N$4="","",IF($B17="",N16,IF(N$4=$F17,$H17,N16)))</f>
        <v/>
      </c>
    </row>
    <row r="18" customFormat="false" ht="15" hidden="false" customHeight="false" outlineLevel="0" collapsed="false">
      <c r="A18" s="14" t="n">
        <v>13</v>
      </c>
      <c r="B18" s="14" t="str">
        <f aca="false">IFERROR(INDEX(Drives!$A$2:$A$13,MATCH($A18,Drives!$H$2:$H$13,0)),"")</f>
        <v/>
      </c>
      <c r="C18" s="14" t="str">
        <f aca="false">IF($B18="","",INDEX(Drives!$B$2:$B$13,MATCH($A18,Drives!$H$2:$H$13,0)))</f>
        <v/>
      </c>
      <c r="D18" s="18" t="str">
        <f aca="false">IF($B18="","",INDEX(Drives!$D$2:$D$13,MATCH($A18,Drives!$H$2:$H$13,0)))</f>
        <v/>
      </c>
      <c r="E18" s="14" t="str">
        <f aca="false">IF($B18="","",INDEX(Drives!$E$2:$E$13,MATCH($A18,Drives!$H$2:$H$13,0)))</f>
        <v/>
      </c>
      <c r="F18" s="14" t="str">
        <f aca="false">IF($B18="","",INDEX($I$4:$N$4,MATCH(MIN($I17:$N17),$I17:$N17,0)))</f>
        <v/>
      </c>
      <c r="G18" s="19" t="str">
        <f aca="false">IF($B18="","",MIN($I17:$N17))</f>
        <v/>
      </c>
      <c r="H18" s="19" t="str">
        <f aca="false">IF($B18="","",$G18+$E18/24)</f>
        <v/>
      </c>
      <c r="I18" s="19" t="n">
        <f aca="false">IF(I$4="","",IF($B18="",I17,IF(I$4=$F18,$H18,I17)))</f>
        <v>46231.7916666667</v>
      </c>
      <c r="J18" s="19" t="n">
        <f aca="false">IF(J$4="","",IF($B18="",J17,IF(J$4=$F18,$H18,J17)))</f>
        <v>46231.6666666667</v>
      </c>
      <c r="K18" s="19" t="n">
        <f aca="false">IF(K$4="","",IF($B18="",K17,IF(K$4=$F18,$H18,K17)))</f>
        <v>46231.75</v>
      </c>
      <c r="L18" s="19" t="str">
        <f aca="false">IF(L$4="","",IF($B18="",L17,IF(L$4=$F18,$H18,L17)))</f>
        <v/>
      </c>
      <c r="M18" s="19" t="str">
        <f aca="false">IF(M$4="","",IF($B18="",M17,IF(M$4=$F18,$H18,M17)))</f>
        <v/>
      </c>
      <c r="N18" s="19" t="str">
        <f aca="false">IF(N$4="","",IF($B18="",N17,IF(N$4=$F18,$H18,N17)))</f>
        <v/>
      </c>
    </row>
    <row r="19" customFormat="false" ht="15" hidden="false" customHeight="false" outlineLevel="0" collapsed="false">
      <c r="A19" s="14" t="n">
        <v>14</v>
      </c>
      <c r="B19" s="14" t="str">
        <f aca="false">IFERROR(INDEX(Drives!$A$2:$A$13,MATCH($A19,Drives!$H$2:$H$13,0)),"")</f>
        <v/>
      </c>
      <c r="C19" s="14" t="str">
        <f aca="false">IF($B19="","",INDEX(Drives!$B$2:$B$13,MATCH($A19,Drives!$H$2:$H$13,0)))</f>
        <v/>
      </c>
      <c r="D19" s="18" t="str">
        <f aca="false">IF($B19="","",INDEX(Drives!$D$2:$D$13,MATCH($A19,Drives!$H$2:$H$13,0)))</f>
        <v/>
      </c>
      <c r="E19" s="14" t="str">
        <f aca="false">IF($B19="","",INDEX(Drives!$E$2:$E$13,MATCH($A19,Drives!$H$2:$H$13,0)))</f>
        <v/>
      </c>
      <c r="F19" s="14" t="str">
        <f aca="false">IF($B19="","",INDEX($I$4:$N$4,MATCH(MIN($I18:$N18),$I18:$N18,0)))</f>
        <v/>
      </c>
      <c r="G19" s="19" t="str">
        <f aca="false">IF($B19="","",MIN($I18:$N18))</f>
        <v/>
      </c>
      <c r="H19" s="19" t="str">
        <f aca="false">IF($B19="","",$G19+$E19/24)</f>
        <v/>
      </c>
      <c r="I19" s="19" t="n">
        <f aca="false">IF(I$4="","",IF($B19="",I18,IF(I$4=$F19,$H19,I18)))</f>
        <v>46231.7916666667</v>
      </c>
      <c r="J19" s="19" t="n">
        <f aca="false">IF(J$4="","",IF($B19="",J18,IF(J$4=$F19,$H19,J18)))</f>
        <v>46231.6666666667</v>
      </c>
      <c r="K19" s="19" t="n">
        <f aca="false">IF(K$4="","",IF($B19="",K18,IF(K$4=$F19,$H19,K18)))</f>
        <v>46231.75</v>
      </c>
      <c r="L19" s="19" t="str">
        <f aca="false">IF(L$4="","",IF($B19="",L18,IF(L$4=$F19,$H19,L18)))</f>
        <v/>
      </c>
      <c r="M19" s="19" t="str">
        <f aca="false">IF(M$4="","",IF($B19="",M18,IF(M$4=$F19,$H19,M18)))</f>
        <v/>
      </c>
      <c r="N19" s="19" t="str">
        <f aca="false">IF(N$4="","",IF($B19="",N18,IF(N$4=$F19,$H19,N18)))</f>
        <v/>
      </c>
    </row>
    <row r="20" customFormat="false" ht="15" hidden="false" customHeight="false" outlineLevel="0" collapsed="false">
      <c r="A20" s="14" t="n">
        <v>15</v>
      </c>
      <c r="B20" s="14" t="str">
        <f aca="false">IFERROR(INDEX(Drives!$A$2:$A$13,MATCH($A20,Drives!$H$2:$H$13,0)),"")</f>
        <v/>
      </c>
      <c r="C20" s="14" t="str">
        <f aca="false">IF($B20="","",INDEX(Drives!$B$2:$B$13,MATCH($A20,Drives!$H$2:$H$13,0)))</f>
        <v/>
      </c>
      <c r="D20" s="18" t="str">
        <f aca="false">IF($B20="","",INDEX(Drives!$D$2:$D$13,MATCH($A20,Drives!$H$2:$H$13,0)))</f>
        <v/>
      </c>
      <c r="E20" s="14" t="str">
        <f aca="false">IF($B20="","",INDEX(Drives!$E$2:$E$13,MATCH($A20,Drives!$H$2:$H$13,0)))</f>
        <v/>
      </c>
      <c r="F20" s="14" t="str">
        <f aca="false">IF($B20="","",INDEX($I$4:$N$4,MATCH(MIN($I19:$N19),$I19:$N19,0)))</f>
        <v/>
      </c>
      <c r="G20" s="19" t="str">
        <f aca="false">IF($B20="","",MIN($I19:$N19))</f>
        <v/>
      </c>
      <c r="H20" s="19" t="str">
        <f aca="false">IF($B20="","",$G20+$E20/24)</f>
        <v/>
      </c>
      <c r="I20" s="19" t="n">
        <f aca="false">IF(I$4="","",IF($B20="",I19,IF(I$4=$F20,$H20,I19)))</f>
        <v>46231.7916666667</v>
      </c>
      <c r="J20" s="19" t="n">
        <f aca="false">IF(J$4="","",IF($B20="",J19,IF(J$4=$F20,$H20,J19)))</f>
        <v>46231.6666666667</v>
      </c>
      <c r="K20" s="19" t="n">
        <f aca="false">IF(K$4="","",IF($B20="",K19,IF(K$4=$F20,$H20,K19)))</f>
        <v>46231.75</v>
      </c>
      <c r="L20" s="19" t="str">
        <f aca="false">IF(L$4="","",IF($B20="",L19,IF(L$4=$F20,$H20,L19)))</f>
        <v/>
      </c>
      <c r="M20" s="19" t="str">
        <f aca="false">IF(M$4="","",IF($B20="",M19,IF(M$4=$F20,$H20,M19)))</f>
        <v/>
      </c>
      <c r="N20" s="19" t="str">
        <f aca="false">IF(N$4="","",IF($B20="",N19,IF(N$4=$F20,$H20,N19)))</f>
        <v/>
      </c>
    </row>
    <row r="21" customFormat="false" ht="15" hidden="false" customHeight="false" outlineLevel="0" collapsed="false">
      <c r="A21" s="14" t="n">
        <v>16</v>
      </c>
      <c r="B21" s="14" t="str">
        <f aca="false">IFERROR(INDEX(Drives!$A$2:$A$13,MATCH($A21,Drives!$H$2:$H$13,0)),"")</f>
        <v/>
      </c>
      <c r="C21" s="14" t="str">
        <f aca="false">IF($B21="","",INDEX(Drives!$B$2:$B$13,MATCH($A21,Drives!$H$2:$H$13,0)))</f>
        <v/>
      </c>
      <c r="D21" s="18" t="str">
        <f aca="false">IF($B21="","",INDEX(Drives!$D$2:$D$13,MATCH($A21,Drives!$H$2:$H$13,0)))</f>
        <v/>
      </c>
      <c r="E21" s="14" t="str">
        <f aca="false">IF($B21="","",INDEX(Drives!$E$2:$E$13,MATCH($A21,Drives!$H$2:$H$13,0)))</f>
        <v/>
      </c>
      <c r="F21" s="14" t="str">
        <f aca="false">IF($B21="","",INDEX($I$4:$N$4,MATCH(MIN($I20:$N20),$I20:$N20,0)))</f>
        <v/>
      </c>
      <c r="G21" s="19" t="str">
        <f aca="false">IF($B21="","",MIN($I20:$N20))</f>
        <v/>
      </c>
      <c r="H21" s="19" t="str">
        <f aca="false">IF($B21="","",$G21+$E21/24)</f>
        <v/>
      </c>
      <c r="I21" s="19" t="n">
        <f aca="false">IF(I$4="","",IF($B21="",I20,IF(I$4=$F21,$H21,I20)))</f>
        <v>46231.7916666667</v>
      </c>
      <c r="J21" s="19" t="n">
        <f aca="false">IF(J$4="","",IF($B21="",J20,IF(J$4=$F21,$H21,J20)))</f>
        <v>46231.6666666667</v>
      </c>
      <c r="K21" s="19" t="n">
        <f aca="false">IF(K$4="","",IF($B21="",K20,IF(K$4=$F21,$H21,K20)))</f>
        <v>46231.75</v>
      </c>
      <c r="L21" s="19" t="str">
        <f aca="false">IF(L$4="","",IF($B21="",L20,IF(L$4=$F21,$H21,L20)))</f>
        <v/>
      </c>
      <c r="M21" s="19" t="str">
        <f aca="false">IF(M$4="","",IF($B21="",M20,IF(M$4=$F21,$H21,M20)))</f>
        <v/>
      </c>
      <c r="N21" s="19" t="str">
        <f aca="false">IF(N$4="","",IF($B21="",N20,IF(N$4=$F21,$H21,N20)))</f>
        <v/>
      </c>
    </row>
    <row r="22" customFormat="false" ht="15" hidden="false" customHeight="false" outlineLevel="0" collapsed="false">
      <c r="A22" s="14" t="n">
        <v>17</v>
      </c>
      <c r="B22" s="14" t="str">
        <f aca="false">IFERROR(INDEX(Drives!$A$2:$A$13,MATCH($A22,Drives!$H$2:$H$13,0)),"")</f>
        <v/>
      </c>
      <c r="C22" s="14" t="str">
        <f aca="false">IF($B22="","",INDEX(Drives!$B$2:$B$13,MATCH($A22,Drives!$H$2:$H$13,0)))</f>
        <v/>
      </c>
      <c r="D22" s="18" t="str">
        <f aca="false">IF($B22="","",INDEX(Drives!$D$2:$D$13,MATCH($A22,Drives!$H$2:$H$13,0)))</f>
        <v/>
      </c>
      <c r="E22" s="14" t="str">
        <f aca="false">IF($B22="","",INDEX(Drives!$E$2:$E$13,MATCH($A22,Drives!$H$2:$H$13,0)))</f>
        <v/>
      </c>
      <c r="F22" s="14" t="str">
        <f aca="false">IF($B22="","",INDEX($I$4:$N$4,MATCH(MIN($I21:$N21),$I21:$N21,0)))</f>
        <v/>
      </c>
      <c r="G22" s="19" t="str">
        <f aca="false">IF($B22="","",MIN($I21:$N21))</f>
        <v/>
      </c>
      <c r="H22" s="19" t="str">
        <f aca="false">IF($B22="","",$G22+$E22/24)</f>
        <v/>
      </c>
      <c r="I22" s="19" t="n">
        <f aca="false">IF(I$4="","",IF($B22="",I21,IF(I$4=$F22,$H22,I21)))</f>
        <v>46231.7916666667</v>
      </c>
      <c r="J22" s="19" t="n">
        <f aca="false">IF(J$4="","",IF($B22="",J21,IF(J$4=$F22,$H22,J21)))</f>
        <v>46231.6666666667</v>
      </c>
      <c r="K22" s="19" t="n">
        <f aca="false">IF(K$4="","",IF($B22="",K21,IF(K$4=$F22,$H22,K21)))</f>
        <v>46231.75</v>
      </c>
      <c r="L22" s="19" t="str">
        <f aca="false">IF(L$4="","",IF($B22="",L21,IF(L$4=$F22,$H22,L21)))</f>
        <v/>
      </c>
      <c r="M22" s="19" t="str">
        <f aca="false">IF(M$4="","",IF($B22="",M21,IF(M$4=$F22,$H22,M21)))</f>
        <v/>
      </c>
      <c r="N22" s="19" t="str">
        <f aca="false">IF(N$4="","",IF($B22="",N21,IF(N$4=$F22,$H22,N21)))</f>
        <v/>
      </c>
    </row>
    <row r="23" customFormat="false" ht="15" hidden="false" customHeight="false" outlineLevel="0" collapsed="false">
      <c r="A23" s="14" t="n">
        <v>18</v>
      </c>
      <c r="B23" s="14" t="str">
        <f aca="false">IFERROR(INDEX(Drives!$A$2:$A$13,MATCH($A23,Drives!$H$2:$H$13,0)),"")</f>
        <v/>
      </c>
      <c r="C23" s="14" t="str">
        <f aca="false">IF($B23="","",INDEX(Drives!$B$2:$B$13,MATCH($A23,Drives!$H$2:$H$13,0)))</f>
        <v/>
      </c>
      <c r="D23" s="18" t="str">
        <f aca="false">IF($B23="","",INDEX(Drives!$D$2:$D$13,MATCH($A23,Drives!$H$2:$H$13,0)))</f>
        <v/>
      </c>
      <c r="E23" s="14" t="str">
        <f aca="false">IF($B23="","",INDEX(Drives!$E$2:$E$13,MATCH($A23,Drives!$H$2:$H$13,0)))</f>
        <v/>
      </c>
      <c r="F23" s="14" t="str">
        <f aca="false">IF($B23="","",INDEX($I$4:$N$4,MATCH(MIN($I22:$N22),$I22:$N22,0)))</f>
        <v/>
      </c>
      <c r="G23" s="19" t="str">
        <f aca="false">IF($B23="","",MIN($I22:$N22))</f>
        <v/>
      </c>
      <c r="H23" s="19" t="str">
        <f aca="false">IF($B23="","",$G23+$E23/24)</f>
        <v/>
      </c>
      <c r="I23" s="19" t="n">
        <f aca="false">IF(I$4="","",IF($B23="",I22,IF(I$4=$F23,$H23,I22)))</f>
        <v>46231.7916666667</v>
      </c>
      <c r="J23" s="19" t="n">
        <f aca="false">IF(J$4="","",IF($B23="",J22,IF(J$4=$F23,$H23,J22)))</f>
        <v>46231.6666666667</v>
      </c>
      <c r="K23" s="19" t="n">
        <f aca="false">IF(K$4="","",IF($B23="",K22,IF(K$4=$F23,$H23,K22)))</f>
        <v>46231.75</v>
      </c>
      <c r="L23" s="19" t="str">
        <f aca="false">IF(L$4="","",IF($B23="",L22,IF(L$4=$F23,$H23,L22)))</f>
        <v/>
      </c>
      <c r="M23" s="19" t="str">
        <f aca="false">IF(M$4="","",IF($B23="",M22,IF(M$4=$F23,$H23,M22)))</f>
        <v/>
      </c>
      <c r="N23" s="19" t="str">
        <f aca="false">IF(N$4="","",IF($B23="",N22,IF(N$4=$F23,$H23,N22)))</f>
        <v/>
      </c>
    </row>
    <row r="24" customFormat="false" ht="15" hidden="false" customHeight="false" outlineLevel="0" collapsed="false">
      <c r="A24" s="14" t="n">
        <v>19</v>
      </c>
      <c r="B24" s="14" t="str">
        <f aca="false">IFERROR(INDEX(Drives!$A$2:$A$13,MATCH($A24,Drives!$H$2:$H$13,0)),"")</f>
        <v/>
      </c>
      <c r="C24" s="14" t="str">
        <f aca="false">IF($B24="","",INDEX(Drives!$B$2:$B$13,MATCH($A24,Drives!$H$2:$H$13,0)))</f>
        <v/>
      </c>
      <c r="D24" s="18" t="str">
        <f aca="false">IF($B24="","",INDEX(Drives!$D$2:$D$13,MATCH($A24,Drives!$H$2:$H$13,0)))</f>
        <v/>
      </c>
      <c r="E24" s="14" t="str">
        <f aca="false">IF($B24="","",INDEX(Drives!$E$2:$E$13,MATCH($A24,Drives!$H$2:$H$13,0)))</f>
        <v/>
      </c>
      <c r="F24" s="14" t="str">
        <f aca="false">IF($B24="","",INDEX($I$4:$N$4,MATCH(MIN($I23:$N23),$I23:$N23,0)))</f>
        <v/>
      </c>
      <c r="G24" s="19" t="str">
        <f aca="false">IF($B24="","",MIN($I23:$N23))</f>
        <v/>
      </c>
      <c r="H24" s="19" t="str">
        <f aca="false">IF($B24="","",$G24+$E24/24)</f>
        <v/>
      </c>
      <c r="I24" s="19" t="n">
        <f aca="false">IF(I$4="","",IF($B24="",I23,IF(I$4=$F24,$H24,I23)))</f>
        <v>46231.7916666667</v>
      </c>
      <c r="J24" s="19" t="n">
        <f aca="false">IF(J$4="","",IF($B24="",J23,IF(J$4=$F24,$H24,J23)))</f>
        <v>46231.6666666667</v>
      </c>
      <c r="K24" s="19" t="n">
        <f aca="false">IF(K$4="","",IF($B24="",K23,IF(K$4=$F24,$H24,K23)))</f>
        <v>46231.75</v>
      </c>
      <c r="L24" s="19" t="str">
        <f aca="false">IF(L$4="","",IF($B24="",L23,IF(L$4=$F24,$H24,L23)))</f>
        <v/>
      </c>
      <c r="M24" s="19" t="str">
        <f aca="false">IF(M$4="","",IF($B24="",M23,IF(M$4=$F24,$H24,M23)))</f>
        <v/>
      </c>
      <c r="N24" s="19" t="str">
        <f aca="false">IF(N$4="","",IF($B24="",N23,IF(N$4=$F24,$H24,N23)))</f>
        <v/>
      </c>
    </row>
    <row r="25" customFormat="false" ht="15" hidden="false" customHeight="false" outlineLevel="0" collapsed="false">
      <c r="A25" s="14" t="n">
        <v>20</v>
      </c>
      <c r="B25" s="14" t="str">
        <f aca="false">IFERROR(INDEX(Drives!$A$2:$A$13,MATCH($A25,Drives!$H$2:$H$13,0)),"")</f>
        <v/>
      </c>
      <c r="C25" s="14" t="str">
        <f aca="false">IF($B25="","",INDEX(Drives!$B$2:$B$13,MATCH($A25,Drives!$H$2:$H$13,0)))</f>
        <v/>
      </c>
      <c r="D25" s="18" t="str">
        <f aca="false">IF($B25="","",INDEX(Drives!$D$2:$D$13,MATCH($A25,Drives!$H$2:$H$13,0)))</f>
        <v/>
      </c>
      <c r="E25" s="14" t="str">
        <f aca="false">IF($B25="","",INDEX(Drives!$E$2:$E$13,MATCH($A25,Drives!$H$2:$H$13,0)))</f>
        <v/>
      </c>
      <c r="F25" s="14" t="str">
        <f aca="false">IF($B25="","",INDEX($I$4:$N$4,MATCH(MIN($I24:$N24),$I24:$N24,0)))</f>
        <v/>
      </c>
      <c r="G25" s="19" t="str">
        <f aca="false">IF($B25="","",MIN($I24:$N24))</f>
        <v/>
      </c>
      <c r="H25" s="19" t="str">
        <f aca="false">IF($B25="","",$G25+$E25/24)</f>
        <v/>
      </c>
      <c r="I25" s="19" t="n">
        <f aca="false">IF(I$4="","",IF($B25="",I24,IF(I$4=$F25,$H25,I24)))</f>
        <v>46231.7916666667</v>
      </c>
      <c r="J25" s="19" t="n">
        <f aca="false">IF(J$4="","",IF($B25="",J24,IF(J$4=$F25,$H25,J24)))</f>
        <v>46231.6666666667</v>
      </c>
      <c r="K25" s="19" t="n">
        <f aca="false">IF(K$4="","",IF($B25="",K24,IF(K$4=$F25,$H25,K24)))</f>
        <v>46231.75</v>
      </c>
      <c r="L25" s="19" t="str">
        <f aca="false">IF(L$4="","",IF($B25="",L24,IF(L$4=$F25,$H25,L24)))</f>
        <v/>
      </c>
      <c r="M25" s="19" t="str">
        <f aca="false">IF(M$4="","",IF($B25="",M24,IF(M$4=$F25,$H25,M24)))</f>
        <v/>
      </c>
      <c r="N25" s="19" t="str">
        <f aca="false">IF(N$4="","",IF($B25="",N24,IF(N$4=$F25,$H25,N24)))</f>
        <v/>
      </c>
    </row>
    <row r="26" customFormat="false" ht="15" hidden="false" customHeight="false" outlineLevel="0" collapsed="false">
      <c r="A26" s="14" t="n">
        <v>21</v>
      </c>
      <c r="B26" s="14" t="str">
        <f aca="false">IFERROR(INDEX(Drives!$A$2:$A$13,MATCH($A26,Drives!$H$2:$H$13,0)),"")</f>
        <v/>
      </c>
      <c r="C26" s="14" t="str">
        <f aca="false">IF($B26="","",INDEX(Drives!$B$2:$B$13,MATCH($A26,Drives!$H$2:$H$13,0)))</f>
        <v/>
      </c>
      <c r="D26" s="18" t="str">
        <f aca="false">IF($B26="","",INDEX(Drives!$D$2:$D$13,MATCH($A26,Drives!$H$2:$H$13,0)))</f>
        <v/>
      </c>
      <c r="E26" s="14" t="str">
        <f aca="false">IF($B26="","",INDEX(Drives!$E$2:$E$13,MATCH($A26,Drives!$H$2:$H$13,0)))</f>
        <v/>
      </c>
      <c r="F26" s="14" t="str">
        <f aca="false">IF($B26="","",INDEX($I$4:$N$4,MATCH(MIN($I25:$N25),$I25:$N25,0)))</f>
        <v/>
      </c>
      <c r="G26" s="19" t="str">
        <f aca="false">IF($B26="","",MIN($I25:$N25))</f>
        <v/>
      </c>
      <c r="H26" s="19" t="str">
        <f aca="false">IF($B26="","",$G26+$E26/24)</f>
        <v/>
      </c>
      <c r="I26" s="19" t="n">
        <f aca="false">IF(I$4="","",IF($B26="",I25,IF(I$4=$F26,$H26,I25)))</f>
        <v>46231.7916666667</v>
      </c>
      <c r="J26" s="19" t="n">
        <f aca="false">IF(J$4="","",IF($B26="",J25,IF(J$4=$F26,$H26,J25)))</f>
        <v>46231.6666666667</v>
      </c>
      <c r="K26" s="19" t="n">
        <f aca="false">IF(K$4="","",IF($B26="",K25,IF(K$4=$F26,$H26,K25)))</f>
        <v>46231.75</v>
      </c>
      <c r="L26" s="19" t="str">
        <f aca="false">IF(L$4="","",IF($B26="",L25,IF(L$4=$F26,$H26,L25)))</f>
        <v/>
      </c>
      <c r="M26" s="19" t="str">
        <f aca="false">IF(M$4="","",IF($B26="",M25,IF(M$4=$F26,$H26,M25)))</f>
        <v/>
      </c>
      <c r="N26" s="19" t="str">
        <f aca="false">IF(N$4="","",IF($B26="",N25,IF(N$4=$F26,$H26,N25)))</f>
        <v/>
      </c>
    </row>
    <row r="27" customFormat="false" ht="15" hidden="false" customHeight="false" outlineLevel="0" collapsed="false">
      <c r="A27" s="14" t="n">
        <v>22</v>
      </c>
      <c r="B27" s="14" t="str">
        <f aca="false">IFERROR(INDEX(Drives!$A$2:$A$13,MATCH($A27,Drives!$H$2:$H$13,0)),"")</f>
        <v/>
      </c>
      <c r="C27" s="14" t="str">
        <f aca="false">IF($B27="","",INDEX(Drives!$B$2:$B$13,MATCH($A27,Drives!$H$2:$H$13,0)))</f>
        <v/>
      </c>
      <c r="D27" s="18" t="str">
        <f aca="false">IF($B27="","",INDEX(Drives!$D$2:$D$13,MATCH($A27,Drives!$H$2:$H$13,0)))</f>
        <v/>
      </c>
      <c r="E27" s="14" t="str">
        <f aca="false">IF($B27="","",INDEX(Drives!$E$2:$E$13,MATCH($A27,Drives!$H$2:$H$13,0)))</f>
        <v/>
      </c>
      <c r="F27" s="14" t="str">
        <f aca="false">IF($B27="","",INDEX($I$4:$N$4,MATCH(MIN($I26:$N26),$I26:$N26,0)))</f>
        <v/>
      </c>
      <c r="G27" s="19" t="str">
        <f aca="false">IF($B27="","",MIN($I26:$N26))</f>
        <v/>
      </c>
      <c r="H27" s="19" t="str">
        <f aca="false">IF($B27="","",$G27+$E27/24)</f>
        <v/>
      </c>
      <c r="I27" s="19" t="n">
        <f aca="false">IF(I$4="","",IF($B27="",I26,IF(I$4=$F27,$H27,I26)))</f>
        <v>46231.7916666667</v>
      </c>
      <c r="J27" s="19" t="n">
        <f aca="false">IF(J$4="","",IF($B27="",J26,IF(J$4=$F27,$H27,J26)))</f>
        <v>46231.6666666667</v>
      </c>
      <c r="K27" s="19" t="n">
        <f aca="false">IF(K$4="","",IF($B27="",K26,IF(K$4=$F27,$H27,K26)))</f>
        <v>46231.75</v>
      </c>
      <c r="L27" s="19" t="str">
        <f aca="false">IF(L$4="","",IF($B27="",L26,IF(L$4=$F27,$H27,L26)))</f>
        <v/>
      </c>
      <c r="M27" s="19" t="str">
        <f aca="false">IF(M$4="","",IF($B27="",M26,IF(M$4=$F27,$H27,M26)))</f>
        <v/>
      </c>
      <c r="N27" s="19" t="str">
        <f aca="false">IF(N$4="","",IF($B27="",N26,IF(N$4=$F27,$H27,N26)))</f>
        <v/>
      </c>
    </row>
    <row r="28" customFormat="false" ht="15" hidden="false" customHeight="false" outlineLevel="0" collapsed="false">
      <c r="A28" s="14" t="n">
        <v>23</v>
      </c>
      <c r="B28" s="14" t="str">
        <f aca="false">IFERROR(INDEX(Drives!$A$2:$A$13,MATCH($A28,Drives!$H$2:$H$13,0)),"")</f>
        <v/>
      </c>
      <c r="C28" s="14" t="str">
        <f aca="false">IF($B28="","",INDEX(Drives!$B$2:$B$13,MATCH($A28,Drives!$H$2:$H$13,0)))</f>
        <v/>
      </c>
      <c r="D28" s="18" t="str">
        <f aca="false">IF($B28="","",INDEX(Drives!$D$2:$D$13,MATCH($A28,Drives!$H$2:$H$13,0)))</f>
        <v/>
      </c>
      <c r="E28" s="14" t="str">
        <f aca="false">IF($B28="","",INDEX(Drives!$E$2:$E$13,MATCH($A28,Drives!$H$2:$H$13,0)))</f>
        <v/>
      </c>
      <c r="F28" s="14" t="str">
        <f aca="false">IF($B28="","",INDEX($I$4:$N$4,MATCH(MIN($I27:$N27),$I27:$N27,0)))</f>
        <v/>
      </c>
      <c r="G28" s="19" t="str">
        <f aca="false">IF($B28="","",MIN($I27:$N27))</f>
        <v/>
      </c>
      <c r="H28" s="19" t="str">
        <f aca="false">IF($B28="","",$G28+$E28/24)</f>
        <v/>
      </c>
      <c r="I28" s="19" t="n">
        <f aca="false">IF(I$4="","",IF($B28="",I27,IF(I$4=$F28,$H28,I27)))</f>
        <v>46231.7916666667</v>
      </c>
      <c r="J28" s="19" t="n">
        <f aca="false">IF(J$4="","",IF($B28="",J27,IF(J$4=$F28,$H28,J27)))</f>
        <v>46231.6666666667</v>
      </c>
      <c r="K28" s="19" t="n">
        <f aca="false">IF(K$4="","",IF($B28="",K27,IF(K$4=$F28,$H28,K27)))</f>
        <v>46231.75</v>
      </c>
      <c r="L28" s="19" t="str">
        <f aca="false">IF(L$4="","",IF($B28="",L27,IF(L$4=$F28,$H28,L27)))</f>
        <v/>
      </c>
      <c r="M28" s="19" t="str">
        <f aca="false">IF(M$4="","",IF($B28="",M27,IF(M$4=$F28,$H28,M27)))</f>
        <v/>
      </c>
      <c r="N28" s="19" t="str">
        <f aca="false">IF(N$4="","",IF($B28="",N27,IF(N$4=$F28,$H28,N27)))</f>
        <v/>
      </c>
    </row>
    <row r="29" customFormat="false" ht="15" hidden="false" customHeight="false" outlineLevel="0" collapsed="false">
      <c r="A29" s="14" t="n">
        <v>24</v>
      </c>
      <c r="B29" s="14" t="str">
        <f aca="false">IFERROR(INDEX(Drives!$A$2:$A$13,MATCH($A29,Drives!$H$2:$H$13,0)),"")</f>
        <v/>
      </c>
      <c r="C29" s="14" t="str">
        <f aca="false">IF($B29="","",INDEX(Drives!$B$2:$B$13,MATCH($A29,Drives!$H$2:$H$13,0)))</f>
        <v/>
      </c>
      <c r="D29" s="18" t="str">
        <f aca="false">IF($B29="","",INDEX(Drives!$D$2:$D$13,MATCH($A29,Drives!$H$2:$H$13,0)))</f>
        <v/>
      </c>
      <c r="E29" s="14" t="str">
        <f aca="false">IF($B29="","",INDEX(Drives!$E$2:$E$13,MATCH($A29,Drives!$H$2:$H$13,0)))</f>
        <v/>
      </c>
      <c r="F29" s="14" t="str">
        <f aca="false">IF($B29="","",INDEX($I$4:$N$4,MATCH(MIN($I28:$N28),$I28:$N28,0)))</f>
        <v/>
      </c>
      <c r="G29" s="19" t="str">
        <f aca="false">IF($B29="","",MIN($I28:$N28))</f>
        <v/>
      </c>
      <c r="H29" s="19" t="str">
        <f aca="false">IF($B29="","",$G29+$E29/24)</f>
        <v/>
      </c>
      <c r="I29" s="19" t="n">
        <f aca="false">IF(I$4="","",IF($B29="",I28,IF(I$4=$F29,$H29,I28)))</f>
        <v>46231.7916666667</v>
      </c>
      <c r="J29" s="19" t="n">
        <f aca="false">IF(J$4="","",IF($B29="",J28,IF(J$4=$F29,$H29,J28)))</f>
        <v>46231.6666666667</v>
      </c>
      <c r="K29" s="19" t="n">
        <f aca="false">IF(K$4="","",IF($B29="",K28,IF(K$4=$F29,$H29,K28)))</f>
        <v>46231.75</v>
      </c>
      <c r="L29" s="19" t="str">
        <f aca="false">IF(L$4="","",IF($B29="",L28,IF(L$4=$F29,$H29,L28)))</f>
        <v/>
      </c>
      <c r="M29" s="19" t="str">
        <f aca="false">IF(M$4="","",IF($B29="",M28,IF(M$4=$F29,$H29,M28)))</f>
        <v/>
      </c>
      <c r="N29" s="19" t="str">
        <f aca="false">IF(N$4="","",IF($B29="",N28,IF(N$4=$F29,$H29,N28)))</f>
        <v/>
      </c>
    </row>
    <row r="30" customFormat="false" ht="15" hidden="false" customHeight="false" outlineLevel="0" collapsed="false">
      <c r="A30" s="14" t="n">
        <v>25</v>
      </c>
      <c r="B30" s="14" t="str">
        <f aca="false">IFERROR(INDEX(Drives!$A$2:$A$13,MATCH($A30,Drives!$H$2:$H$13,0)),"")</f>
        <v/>
      </c>
      <c r="C30" s="14" t="str">
        <f aca="false">IF($B30="","",INDEX(Drives!$B$2:$B$13,MATCH($A30,Drives!$H$2:$H$13,0)))</f>
        <v/>
      </c>
      <c r="D30" s="18" t="str">
        <f aca="false">IF($B30="","",INDEX(Drives!$D$2:$D$13,MATCH($A30,Drives!$H$2:$H$13,0)))</f>
        <v/>
      </c>
      <c r="E30" s="14" t="str">
        <f aca="false">IF($B30="","",INDEX(Drives!$E$2:$E$13,MATCH($A30,Drives!$H$2:$H$13,0)))</f>
        <v/>
      </c>
      <c r="F30" s="14" t="str">
        <f aca="false">IF($B30="","",INDEX($I$4:$N$4,MATCH(MIN($I29:$N29),$I29:$N29,0)))</f>
        <v/>
      </c>
      <c r="G30" s="19" t="str">
        <f aca="false">IF($B30="","",MIN($I29:$N29))</f>
        <v/>
      </c>
      <c r="H30" s="19" t="str">
        <f aca="false">IF($B30="","",$G30+$E30/24)</f>
        <v/>
      </c>
      <c r="I30" s="19" t="n">
        <f aca="false">IF(I$4="","",IF($B30="",I29,IF(I$4=$F30,$H30,I29)))</f>
        <v>46231.7916666667</v>
      </c>
      <c r="J30" s="19" t="n">
        <f aca="false">IF(J$4="","",IF($B30="",J29,IF(J$4=$F30,$H30,J29)))</f>
        <v>46231.6666666667</v>
      </c>
      <c r="K30" s="19" t="n">
        <f aca="false">IF(K$4="","",IF($B30="",K29,IF(K$4=$F30,$H30,K29)))</f>
        <v>46231.75</v>
      </c>
      <c r="L30" s="19" t="str">
        <f aca="false">IF(L$4="","",IF($B30="",L29,IF(L$4=$F30,$H30,L29)))</f>
        <v/>
      </c>
      <c r="M30" s="19" t="str">
        <f aca="false">IF(M$4="","",IF($B30="",M29,IF(M$4=$F30,$H30,M29)))</f>
        <v/>
      </c>
      <c r="N30" s="19" t="str">
        <f aca="false">IF(N$4="","",IF($B30="",N29,IF(N$4=$F30,$H30,N29)))</f>
        <v/>
      </c>
    </row>
    <row r="31" customFormat="false" ht="15" hidden="false" customHeight="false" outlineLevel="0" collapsed="false">
      <c r="A31" s="14" t="n">
        <v>26</v>
      </c>
      <c r="B31" s="14" t="str">
        <f aca="false">IFERROR(INDEX(Drives!$A$2:$A$13,MATCH($A31,Drives!$H$2:$H$13,0)),"")</f>
        <v/>
      </c>
      <c r="C31" s="14" t="str">
        <f aca="false">IF($B31="","",INDEX(Drives!$B$2:$B$13,MATCH($A31,Drives!$H$2:$H$13,0)))</f>
        <v/>
      </c>
      <c r="D31" s="18" t="str">
        <f aca="false">IF($B31="","",INDEX(Drives!$D$2:$D$13,MATCH($A31,Drives!$H$2:$H$13,0)))</f>
        <v/>
      </c>
      <c r="E31" s="14" t="str">
        <f aca="false">IF($B31="","",INDEX(Drives!$E$2:$E$13,MATCH($A31,Drives!$H$2:$H$13,0)))</f>
        <v/>
      </c>
      <c r="F31" s="14" t="str">
        <f aca="false">IF($B31="","",INDEX($I$4:$N$4,MATCH(MIN($I30:$N30),$I30:$N30,0)))</f>
        <v/>
      </c>
      <c r="G31" s="19" t="str">
        <f aca="false">IF($B31="","",MIN($I30:$N30))</f>
        <v/>
      </c>
      <c r="H31" s="19" t="str">
        <f aca="false">IF($B31="","",$G31+$E31/24)</f>
        <v/>
      </c>
      <c r="I31" s="19" t="n">
        <f aca="false">IF(I$4="","",IF($B31="",I30,IF(I$4=$F31,$H31,I30)))</f>
        <v>46231.7916666667</v>
      </c>
      <c r="J31" s="19" t="n">
        <f aca="false">IF(J$4="","",IF($B31="",J30,IF(J$4=$F31,$H31,J30)))</f>
        <v>46231.6666666667</v>
      </c>
      <c r="K31" s="19" t="n">
        <f aca="false">IF(K$4="","",IF($B31="",K30,IF(K$4=$F31,$H31,K30)))</f>
        <v>46231.75</v>
      </c>
      <c r="L31" s="19" t="str">
        <f aca="false">IF(L$4="","",IF($B31="",L30,IF(L$4=$F31,$H31,L30)))</f>
        <v/>
      </c>
      <c r="M31" s="19" t="str">
        <f aca="false">IF(M$4="","",IF($B31="",M30,IF(M$4=$F31,$H31,M30)))</f>
        <v/>
      </c>
      <c r="N31" s="19" t="str">
        <f aca="false">IF(N$4="","",IF($B31="",N30,IF(N$4=$F31,$H31,N30)))</f>
        <v/>
      </c>
    </row>
    <row r="32" customFormat="false" ht="15" hidden="false" customHeight="false" outlineLevel="0" collapsed="false">
      <c r="A32" s="14" t="n">
        <v>27</v>
      </c>
      <c r="B32" s="14" t="str">
        <f aca="false">IFERROR(INDEX(Drives!$A$2:$A$13,MATCH($A32,Drives!$H$2:$H$13,0)),"")</f>
        <v/>
      </c>
      <c r="C32" s="14" t="str">
        <f aca="false">IF($B32="","",INDEX(Drives!$B$2:$B$13,MATCH($A32,Drives!$H$2:$H$13,0)))</f>
        <v/>
      </c>
      <c r="D32" s="18" t="str">
        <f aca="false">IF($B32="","",INDEX(Drives!$D$2:$D$13,MATCH($A32,Drives!$H$2:$H$13,0)))</f>
        <v/>
      </c>
      <c r="E32" s="14" t="str">
        <f aca="false">IF($B32="","",INDEX(Drives!$E$2:$E$13,MATCH($A32,Drives!$H$2:$H$13,0)))</f>
        <v/>
      </c>
      <c r="F32" s="14" t="str">
        <f aca="false">IF($B32="","",INDEX($I$4:$N$4,MATCH(MIN($I31:$N31),$I31:$N31,0)))</f>
        <v/>
      </c>
      <c r="G32" s="19" t="str">
        <f aca="false">IF($B32="","",MIN($I31:$N31))</f>
        <v/>
      </c>
      <c r="H32" s="19" t="str">
        <f aca="false">IF($B32="","",$G32+$E32/24)</f>
        <v/>
      </c>
      <c r="I32" s="19" t="n">
        <f aca="false">IF(I$4="","",IF($B32="",I31,IF(I$4=$F32,$H32,I31)))</f>
        <v>46231.7916666667</v>
      </c>
      <c r="J32" s="19" t="n">
        <f aca="false">IF(J$4="","",IF($B32="",J31,IF(J$4=$F32,$H32,J31)))</f>
        <v>46231.6666666667</v>
      </c>
      <c r="K32" s="19" t="n">
        <f aca="false">IF(K$4="","",IF($B32="",K31,IF(K$4=$F32,$H32,K31)))</f>
        <v>46231.75</v>
      </c>
      <c r="L32" s="19" t="str">
        <f aca="false">IF(L$4="","",IF($B32="",L31,IF(L$4=$F32,$H32,L31)))</f>
        <v/>
      </c>
      <c r="M32" s="19" t="str">
        <f aca="false">IF(M$4="","",IF($B32="",M31,IF(M$4=$F32,$H32,M31)))</f>
        <v/>
      </c>
      <c r="N32" s="19" t="str">
        <f aca="false">IF(N$4="","",IF($B32="",N31,IF(N$4=$F32,$H32,N31)))</f>
        <v/>
      </c>
    </row>
    <row r="33" customFormat="false" ht="15" hidden="false" customHeight="false" outlineLevel="0" collapsed="false">
      <c r="A33" s="14" t="n">
        <v>28</v>
      </c>
      <c r="B33" s="14" t="str">
        <f aca="false">IFERROR(INDEX(Drives!$A$2:$A$13,MATCH($A33,Drives!$H$2:$H$13,0)),"")</f>
        <v/>
      </c>
      <c r="C33" s="14" t="str">
        <f aca="false">IF($B33="","",INDEX(Drives!$B$2:$B$13,MATCH($A33,Drives!$H$2:$H$13,0)))</f>
        <v/>
      </c>
      <c r="D33" s="18" t="str">
        <f aca="false">IF($B33="","",INDEX(Drives!$D$2:$D$13,MATCH($A33,Drives!$H$2:$H$13,0)))</f>
        <v/>
      </c>
      <c r="E33" s="14" t="str">
        <f aca="false">IF($B33="","",INDEX(Drives!$E$2:$E$13,MATCH($A33,Drives!$H$2:$H$13,0)))</f>
        <v/>
      </c>
      <c r="F33" s="14" t="str">
        <f aca="false">IF($B33="","",INDEX($I$4:$N$4,MATCH(MIN($I32:$N32),$I32:$N32,0)))</f>
        <v/>
      </c>
      <c r="G33" s="19" t="str">
        <f aca="false">IF($B33="","",MIN($I32:$N32))</f>
        <v/>
      </c>
      <c r="H33" s="19" t="str">
        <f aca="false">IF($B33="","",$G33+$E33/24)</f>
        <v/>
      </c>
      <c r="I33" s="19" t="n">
        <f aca="false">IF(I$4="","",IF($B33="",I32,IF(I$4=$F33,$H33,I32)))</f>
        <v>46231.7916666667</v>
      </c>
      <c r="J33" s="19" t="n">
        <f aca="false">IF(J$4="","",IF($B33="",J32,IF(J$4=$F33,$H33,J32)))</f>
        <v>46231.6666666667</v>
      </c>
      <c r="K33" s="19" t="n">
        <f aca="false">IF(K$4="","",IF($B33="",K32,IF(K$4=$F33,$H33,K32)))</f>
        <v>46231.75</v>
      </c>
      <c r="L33" s="19" t="str">
        <f aca="false">IF(L$4="","",IF($B33="",L32,IF(L$4=$F33,$H33,L32)))</f>
        <v/>
      </c>
      <c r="M33" s="19" t="str">
        <f aca="false">IF(M$4="","",IF($B33="",M32,IF(M$4=$F33,$H33,M32)))</f>
        <v/>
      </c>
      <c r="N33" s="19" t="str">
        <f aca="false">IF(N$4="","",IF($B33="",N32,IF(N$4=$F33,$H33,N32)))</f>
        <v/>
      </c>
    </row>
    <row r="34" customFormat="false" ht="15" hidden="false" customHeight="false" outlineLevel="0" collapsed="false">
      <c r="A34" s="14" t="n">
        <v>29</v>
      </c>
      <c r="B34" s="14" t="str">
        <f aca="false">IFERROR(INDEX(Drives!$A$2:$A$13,MATCH($A34,Drives!$H$2:$H$13,0)),"")</f>
        <v/>
      </c>
      <c r="C34" s="14" t="str">
        <f aca="false">IF($B34="","",INDEX(Drives!$B$2:$B$13,MATCH($A34,Drives!$H$2:$H$13,0)))</f>
        <v/>
      </c>
      <c r="D34" s="18" t="str">
        <f aca="false">IF($B34="","",INDEX(Drives!$D$2:$D$13,MATCH($A34,Drives!$H$2:$H$13,0)))</f>
        <v/>
      </c>
      <c r="E34" s="14" t="str">
        <f aca="false">IF($B34="","",INDEX(Drives!$E$2:$E$13,MATCH($A34,Drives!$H$2:$H$13,0)))</f>
        <v/>
      </c>
      <c r="F34" s="14" t="str">
        <f aca="false">IF($B34="","",INDEX($I$4:$N$4,MATCH(MIN($I33:$N33),$I33:$N33,0)))</f>
        <v/>
      </c>
      <c r="G34" s="19" t="str">
        <f aca="false">IF($B34="","",MIN($I33:$N33))</f>
        <v/>
      </c>
      <c r="H34" s="19" t="str">
        <f aca="false">IF($B34="","",$G34+$E34/24)</f>
        <v/>
      </c>
      <c r="I34" s="19" t="n">
        <f aca="false">IF(I$4="","",IF($B34="",I33,IF(I$4=$F34,$H34,I33)))</f>
        <v>46231.7916666667</v>
      </c>
      <c r="J34" s="19" t="n">
        <f aca="false">IF(J$4="","",IF($B34="",J33,IF(J$4=$F34,$H34,J33)))</f>
        <v>46231.6666666667</v>
      </c>
      <c r="K34" s="19" t="n">
        <f aca="false">IF(K$4="","",IF($B34="",K33,IF(K$4=$F34,$H34,K33)))</f>
        <v>46231.75</v>
      </c>
      <c r="L34" s="19" t="str">
        <f aca="false">IF(L$4="","",IF($B34="",L33,IF(L$4=$F34,$H34,L33)))</f>
        <v/>
      </c>
      <c r="M34" s="19" t="str">
        <f aca="false">IF(M$4="","",IF($B34="",M33,IF(M$4=$F34,$H34,M33)))</f>
        <v/>
      </c>
      <c r="N34" s="19" t="str">
        <f aca="false">IF(N$4="","",IF($B34="",N33,IF(N$4=$F34,$H34,N33)))</f>
        <v/>
      </c>
    </row>
    <row r="35" customFormat="false" ht="15" hidden="false" customHeight="false" outlineLevel="0" collapsed="false">
      <c r="A35" s="14" t="n">
        <v>30</v>
      </c>
      <c r="B35" s="14" t="str">
        <f aca="false">IFERROR(INDEX(Drives!$A$2:$A$13,MATCH($A35,Drives!$H$2:$H$13,0)),"")</f>
        <v/>
      </c>
      <c r="C35" s="14" t="str">
        <f aca="false">IF($B35="","",INDEX(Drives!$B$2:$B$13,MATCH($A35,Drives!$H$2:$H$13,0)))</f>
        <v/>
      </c>
      <c r="D35" s="18" t="str">
        <f aca="false">IF($B35="","",INDEX(Drives!$D$2:$D$13,MATCH($A35,Drives!$H$2:$H$13,0)))</f>
        <v/>
      </c>
      <c r="E35" s="14" t="str">
        <f aca="false">IF($B35="","",INDEX(Drives!$E$2:$E$13,MATCH($A35,Drives!$H$2:$H$13,0)))</f>
        <v/>
      </c>
      <c r="F35" s="14" t="str">
        <f aca="false">IF($B35="","",INDEX($I$4:$N$4,MATCH(MIN($I34:$N34),$I34:$N34,0)))</f>
        <v/>
      </c>
      <c r="G35" s="19" t="str">
        <f aca="false">IF($B35="","",MIN($I34:$N34))</f>
        <v/>
      </c>
      <c r="H35" s="19" t="str">
        <f aca="false">IF($B35="","",$G35+$E35/24)</f>
        <v/>
      </c>
      <c r="I35" s="19" t="n">
        <f aca="false">IF(I$4="","",IF($B35="",I34,IF(I$4=$F35,$H35,I34)))</f>
        <v>46231.7916666667</v>
      </c>
      <c r="J35" s="19" t="n">
        <f aca="false">IF(J$4="","",IF($B35="",J34,IF(J$4=$F35,$H35,J34)))</f>
        <v>46231.6666666667</v>
      </c>
      <c r="K35" s="19" t="n">
        <f aca="false">IF(K$4="","",IF($B35="",K34,IF(K$4=$F35,$H35,K34)))</f>
        <v>46231.75</v>
      </c>
      <c r="L35" s="19" t="str">
        <f aca="false">IF(L$4="","",IF($B35="",L34,IF(L$4=$F35,$H35,L34)))</f>
        <v/>
      </c>
      <c r="M35" s="19" t="str">
        <f aca="false">IF(M$4="","",IF($B35="",M34,IF(M$4=$F35,$H35,M34)))</f>
        <v/>
      </c>
      <c r="N35" s="19" t="str">
        <f aca="false">IF(N$4="","",IF($B35="",N34,IF(N$4=$F35,$H35,N34)))</f>
        <v/>
      </c>
    </row>
    <row r="37" customFormat="false" ht="15" hidden="false" customHeight="false" outlineLevel="0" collapsed="false">
      <c r="A37" s="2" t="s">
        <v>62</v>
      </c>
      <c r="B37" s="20" t="n">
        <f aca="false">COUNTIF($B$6:$B$35,"?*")</f>
        <v>12</v>
      </c>
    </row>
    <row r="38" customFormat="false" ht="15" hidden="false" customHeight="false" outlineLevel="0" collapsed="false">
      <c r="A38" s="2" t="s">
        <v>63</v>
      </c>
      <c r="B38" s="21" t="n">
        <f aca="false">MAX($I$6:$N$35)</f>
        <v>46231.7916666667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2026-07-23T16:54:18Z</dcterms:created>
  <dc:creator>openpyxl</dc:creator>
  <dc:description/>
  <dc:language>en-US</dc:language>
  <cp:lastModifiedBy/>
  <dcterms:modified xsi:type="dcterms:W3CDTF">2026-07-23T16:54:18Z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